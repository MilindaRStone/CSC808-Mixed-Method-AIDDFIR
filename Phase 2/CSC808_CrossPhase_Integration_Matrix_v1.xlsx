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akotastateuniversity-my.sharepoint.com/personal/milinda_rambel-stone_trojans_dsu_edu/Documents/Courses/CSC 808 Mixed Methods Research/Research 808/"/>
    </mc:Choice>
  </mc:AlternateContent>
  <xr:revisionPtr revIDLastSave="0" documentId="8_{9418A53C-DD98-406E-98AB-151D4C72BD25}" xr6:coauthVersionLast="47" xr6:coauthVersionMax="47" xr10:uidLastSave="{00000000-0000-0000-0000-000000000000}"/>
  <bookViews>
    <workbookView xWindow="-110" yWindow="-110" windowWidth="19420" windowHeight="11500" tabRatio="500" activeTab="5" xr2:uid="{00000000-000D-0000-FFFF-FFFF00000000}"/>
  </bookViews>
  <sheets>
    <sheet name="README" sheetId="1" r:id="rId1"/>
    <sheet name="Gap Patterns" sheetId="2" r:id="rId2"/>
    <sheet name="Phase 2 Themes" sheetId="3" r:id="rId3"/>
    <sheet name="Layer 1 Matrix" sheetId="4" r:id="rId4"/>
    <sheet name="Layer 2 Evidence" sheetId="5" r:id="rId5"/>
    <sheet name="Criterion Count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6" l="1"/>
  <c r="E9" i="6"/>
  <c r="D9" i="6"/>
  <c r="C9" i="6"/>
  <c r="B9" i="6"/>
  <c r="F9" i="6" s="1"/>
  <c r="H9" i="6" s="1"/>
  <c r="E8" i="6"/>
  <c r="D8" i="6"/>
  <c r="C8" i="6"/>
  <c r="B8" i="6"/>
  <c r="F8" i="6" s="1"/>
  <c r="H8" i="6" s="1"/>
  <c r="E7" i="6"/>
  <c r="D7" i="6"/>
  <c r="C7" i="6"/>
  <c r="B7" i="6"/>
  <c r="F7" i="6" s="1"/>
  <c r="H7" i="6" s="1"/>
  <c r="E6" i="6"/>
  <c r="D6" i="6"/>
  <c r="C6" i="6"/>
  <c r="B6" i="6"/>
  <c r="F6" i="6" s="1"/>
  <c r="H6" i="6" s="1"/>
  <c r="E5" i="6"/>
  <c r="D5" i="6"/>
  <c r="C5" i="6"/>
  <c r="B5" i="6"/>
  <c r="F5" i="6" s="1"/>
  <c r="H5" i="6" s="1"/>
  <c r="E4" i="6"/>
  <c r="D4" i="6"/>
  <c r="C4" i="6"/>
  <c r="B4" i="6"/>
  <c r="F4" i="6" s="1"/>
  <c r="H4" i="6" s="1"/>
  <c r="E3" i="6"/>
  <c r="D3" i="6"/>
  <c r="C3" i="6"/>
  <c r="B3" i="6"/>
  <c r="F3" i="6" s="1"/>
  <c r="H3" i="6" s="1"/>
  <c r="E2" i="6"/>
  <c r="E10" i="6" s="1"/>
  <c r="D2" i="6"/>
  <c r="D10" i="6" s="1"/>
  <c r="C2" i="6"/>
  <c r="C10" i="6" s="1"/>
  <c r="B2" i="6"/>
  <c r="F2" i="6" s="1"/>
  <c r="H2" i="6" l="1"/>
  <c r="F10" i="6"/>
  <c r="H10" i="6" s="1"/>
  <c r="B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300-000001000000}">
      <text>
        <r>
          <rPr>
            <sz val="10"/>
            <rFont val="Arial"/>
            <family val="2"/>
          </rPr>
          <t>doc_score = 1
57 of 78 (73.1%)</t>
        </r>
      </text>
    </comment>
    <comment ref="C4" authorId="0" shapeId="0" xr:uid="{00000000-0006-0000-0300-000002000000}">
      <text>
        <r>
          <rPr>
            <sz val="10"/>
            <rFont val="Arial"/>
            <family val="2"/>
          </rPr>
          <t>flag_d4_limited = 1 (D4 = minimum dimension)
52 of 78 (66.7%)</t>
        </r>
      </text>
    </comment>
    <comment ref="D4" authorId="0" shapeId="0" xr:uid="{00000000-0006-0000-0300-000003000000}">
      <text>
        <r>
          <rPr>
            <sz val="10"/>
            <rFont val="Arial"/>
            <family val="2"/>
          </rPr>
          <t>D3 = 5 ∧ D4 = 1 (maximum reproducibility, minimum AI validation)
14 of 78 (17.9%)</t>
        </r>
      </text>
    </comment>
    <comment ref="E4" authorId="0" shapeId="0" xr:uid="{00000000-0006-0000-0300-000004000000}">
      <text>
        <r>
          <rPr>
            <sz val="10"/>
            <rFont val="Arial"/>
            <family val="2"/>
          </rPr>
          <t>NIST &gt; SWGDE on all four dimensions (org-based stratification)
Entire corpus stratification (37 NIST vs. 41 SWGDE)</t>
        </r>
      </text>
    </comment>
    <comment ref="F4" authorId="0" shapeId="0" xr:uid="{00000000-0006-0000-0300-000005000000}">
      <text>
        <r>
          <rPr>
            <sz val="10"/>
            <rFont val="Arial"/>
            <family val="2"/>
          </rPr>
          <t>d4_present = 1 (D4 ≥ 3) ∧ doc_score &lt; 3
19 of 78 (24.4%) — 13 NIST, 6 SWGDE</t>
        </r>
      </text>
    </comment>
    <comment ref="G4" authorId="0" shapeId="0" xr:uid="{00000000-0006-0000-0300-000006000000}">
      <text>
        <r>
          <rPr>
            <sz val="10"/>
            <rFont val="Arial"/>
            <family val="2"/>
          </rPr>
          <t>NIST D4 rising across year bands; SWGDE D4 flat
Whole-corpus trend (year-band × org)</t>
        </r>
      </text>
    </comment>
  </commentList>
</comments>
</file>

<file path=xl/sharedStrings.xml><?xml version="1.0" encoding="utf-8"?>
<sst xmlns="http://schemas.openxmlformats.org/spreadsheetml/2006/main" count="445" uniqueCount="293">
  <si>
    <t>Cross-Phase Integration Matrix — Pilot Study</t>
  </si>
  <si>
    <t>CSC 808 Mixed Methods Research | Rambel Stone | 2026-04-22</t>
  </si>
  <si>
    <t>PURPOSE</t>
  </si>
  <si>
    <t>This workbook integrates Phase 1 (QUAN, 78-document deductive scoring) with Phase 2 (QUAL, inductive thematic coding of development-process documents) using the Edgar and Manz (2017) four-criteria framework for mixed methods integration.</t>
  </si>
  <si>
    <t>EDGAR AND MANZ (2017) FOUR CRITERIA</t>
  </si>
  <si>
    <t>Convergence (CONV)</t>
  </si>
  <si>
    <t>QUAN and QUAL independently arrive at the same finding via different methods. Strongest form of integration.</t>
  </si>
  <si>
    <t>Complementarity (COMP)</t>
  </si>
  <si>
    <t>QUAN and QUAL each address a different facet of the same phenomenon. Findings do not overlap but jointly complete the picture.</t>
  </si>
  <si>
    <t>Expansion (EXPN)</t>
  </si>
  <si>
    <t>QUAL extends the QUAN finding into a new domain or dimension the QUAN method could not reach (e.g., process, language, organizational context).</t>
  </si>
  <si>
    <t>Explanation (EXPL)</t>
  </si>
  <si>
    <t>QUAL provides a causal or mechanistic account of a QUAN finding. QUAL tells us why the QUAN result looks the way it does.</t>
  </si>
  <si>
    <t>STRUCTURE — TWO-LAYER MATRIX</t>
  </si>
  <si>
    <t>Layer 1 — at-a-glance matrix</t>
  </si>
  <si>
    <t>Sheet 'Layer 1 Matrix'. Rows = Phase 2 themes (T1–T8). Columns = Phase 1 gap patterns (GP1–GP6). Each cell contains the Edgar &amp; Manz criterion code or is blank. Cell color encodes the criterion.</t>
  </si>
  <si>
    <t>Layer 2 — evidence table</t>
  </si>
  <si>
    <t>Sheet 'Layer 2 Evidence'. One row per filled cell in Layer 1. Documents the specific Phase 2 passage anchor, the specific Phase 1 statistic, and a confidence note. This is the falsifiable, reviewable layer.</t>
  </si>
  <si>
    <t>Supporting sheets</t>
  </si>
  <si>
    <t>'Gap Patterns' defines GP1–GP6. 'Phase 2 Themes' defines T1–T8. 'Criterion Counts' summarizes per-theme criterion distribution.</t>
  </si>
  <si>
    <t>METHODOLOGICAL NOTES</t>
  </si>
  <si>
    <t>Gap pattern derivation</t>
  </si>
  <si>
    <t>The six gap patterns were derived from the Phase 1 dataset's empirical structure rather than from Chapter 4 narrative framing. Each has a precise numerical signature (see 'Gap Patterns' sheet). This choice prioritizes empirical defensibility and reproducibility for the pilot study.</t>
  </si>
  <si>
    <t>Non-independence of GP1 and GP2</t>
  </si>
  <si>
    <t>GP2 ⊂ GP1 (every D4-limited document is a score-1 document). The five documents in GP1 \ GP2 are co-limited by D1/D2 with D4 ≥ 2. This hierarchy is preserved in the matrix.</t>
  </si>
  <si>
    <t>CFTT paradox (GP3)</t>
  </si>
  <si>
    <t>The D3=5 ∧ D4=1 signature holds exclusively for the 14 CFTT Test Reports. Perfect 100% overlap, no noise. This is the most empirically clean pattern in the corpus.</t>
  </si>
  <si>
    <t>Theme 8 framing</t>
  </si>
  <si>
    <t>T8 (federal AI governance instability) is carried as a cross-document contextual theme rather than as an activated inductive code. See Decision Log Amendment #3 (2026-04-21).</t>
  </si>
  <si>
    <t>Pilot scale</t>
  </si>
  <si>
    <t>This is pilot work feeding dissertation design. Evidence confidence levels in Layer 2 are conservative; dissertation-scale analysis should add regression controls, post-2025 publication follow-up, and quantified anchor-document influence.</t>
  </si>
  <si>
    <t>INPUTS</t>
  </si>
  <si>
    <t>Phase 1 dataset</t>
  </si>
  <si>
    <t>CSC808_Phase1_Data__1_.csv (78 documents, scored on D1-D4)</t>
  </si>
  <si>
    <t>Phase 2 coding log</t>
  </si>
  <si>
    <t>CSC808_Phase2_CodingLog_RambelStone_updated_4-22-2026_PRIMARY_v4.xlsx (171 coded entries across 47-document Phase 2 corpus)</t>
  </si>
  <si>
    <t>Matrix 2 (eight QUAL themes)</t>
  </si>
  <si>
    <t>Coding log Emerging Patterns sheet, plus Theme 8 LaTeX draft from 2026-04-22</t>
  </si>
  <si>
    <t>ID</t>
  </si>
  <si>
    <t>Name</t>
  </si>
  <si>
    <t>Numerical signature</t>
  </si>
  <si>
    <t>Count (N=78)</t>
  </si>
  <si>
    <t>Description</t>
  </si>
  <si>
    <t>Phase 1 evidence</t>
  </si>
  <si>
    <t>Note</t>
  </si>
  <si>
    <t>GP1</t>
  </si>
  <si>
    <t>Corpus-wide confidence floor</t>
  </si>
  <si>
    <t>doc_score = 1</t>
  </si>
  <si>
    <t>57 of 78 (73.1%)</t>
  </si>
  <si>
    <t>Nearly three-quarters of the corpus scores at the minimum aggregate confidence level under the min-score aggregation rule. Establishes the baseline prevalence of the AIDFIR gap and the dominant mode of the score distribution.</t>
  </si>
  <si>
    <t>Score distribution: 57 docs at score 1, 14 at score 2, 7 at score 3. Mean aggregate score ≈ 1.37.</t>
  </si>
  <si>
    <t>Not independent from GP2 — every GP2 document is a GP1 document (P1 ⊂ P2). Five GP1 documents fall outside GP2 (co-limited by D1/D2 with D4 ≥ 2).</t>
  </si>
  <si>
    <t>GP2</t>
  </si>
  <si>
    <t>D4 as dominant limiter (AIDFIR gap)</t>
  </si>
  <si>
    <t>flag_d4_limited = 1 (D4 = minimum dimension)</t>
  </si>
  <si>
    <t>52 of 78 (66.7%)</t>
  </si>
  <si>
    <t>D4 (AI-specific validation guidance) is the minimum dimension and therefore the limiting dimension under min-score aggregation. This is the corpus-level operational form of the AIDFIR gap.</t>
  </si>
  <si>
    <t>52 of 78 documents are D4-limited. D4 corpus mean = 1.68 vs. D1 = 2.35, D2 = 2.40, D3 = 3.21.</t>
  </si>
  <si>
    <t>GP2 ⊂ GP1. The difference (GP1 \ GP2, n=5) comprises documents co-limited by D1/D2 with D4 ≥ 2 — a structurally distinct minority.</t>
  </si>
  <si>
    <t>GP3</t>
  </si>
  <si>
    <t>CFTT reproducibility-validation paradox</t>
  </si>
  <si>
    <t>D3 = 5 ∧ D4 = 1 (maximum reproducibility, minimum AI validation)</t>
  </si>
  <si>
    <t>14 of 78 (17.9%)</t>
  </si>
  <si>
    <t>The CFTT Test Report sub-corpus exhibits a structurally uniform profile (D1=3, D2=4, D3=5, D4=1) across all 14 documents. Reproducibility requirements are maximal while AI-specific validation is minimal in the same documents.</t>
  </si>
  <si>
    <t>100% of CFTT Test Reports (14/14) match the paradox signature. Zero non-CFTT documents match. CFTT Test Specifications (n=3) show a near-paradox (D3=4, D4=1). Perfect exclusivity between the pattern and the sub-corpus.</t>
  </si>
  <si>
    <t>The most empirically striking pattern in the corpus. Demonstrates that high reproducibility standards do not entail AI-specific validation — the two are orthogonal under current NIST CFTT methodology.</t>
  </si>
  <si>
    <t>GP4</t>
  </si>
  <si>
    <t>NIST-SWGDE cross-dimensional differential</t>
  </si>
  <si>
    <t>NIST &gt; SWGDE on all four dimensions (org-based stratification)</t>
  </si>
  <si>
    <t>Entire corpus stratification (37 NIST vs. 41 SWGDE)</t>
  </si>
  <si>
    <t>NIST outscores SWGDE on every dimension. The differential is largest at D2, D3, and D4. The D4 differential is the most consequential for the AIDFIR gap: NIST mean 2.22, SWGDE mean 1.20 (Cohen's d ≈ 0.94).</t>
  </si>
  <si>
    <t>NIST vs. SWGDE dimension means: D1 (2.76 vs. 1.98, +0.78); D2 (3.00 vs. 1.85, +1.15); D3 (3.76 vs. 2.71, +1.05); D4 (2.22 vs. 1.20, +1.02, d ≈ 0.94). All four Welch t-tests significant.</t>
  </si>
  <si>
    <t>P1 in the dissertation proposition set. Explained in Phase 2 by organizational scope and update-frequency mechanisms; Phase 2 also clarifies that the NIST advantage concentrates in the NIST AI/RMF sub-family rather than across all NIST documents.</t>
  </si>
  <si>
    <t>GP5</t>
  </si>
  <si>
    <t>AI presence without confidence integration</t>
  </si>
  <si>
    <t>d4_present = 1 (D4 ≥ 3) ∧ doc_score &lt; 3</t>
  </si>
  <si>
    <t>19 of 78 (24.4%) — 13 NIST, 6 SWGDE</t>
  </si>
  <si>
    <t>AI-specific content is present (D4 ≥ 3) but aggregate confidence stays at floor or low-confidence levels because D1, D2, or D3 remain at 1 or 2. AI content has entered the document without being integrated into a confidence-measurement framework.</t>
  </si>
  <si>
    <t>19 documents show d4_present=1 with doc_score&lt;3. NIST AI/RMF core docs are prominent here (AI RMF 1.0, Playbook, CSF Profile for AI), along with several SWGDE Video/Image documents treating AI content.</t>
  </si>
  <si>
    <t>Distinct from GP2. GP2 = D4 is the floor. GP5 = D4 is elevated but something else is the floor. Different mechanism, different integration implication.</t>
  </si>
  <si>
    <t>GP6</t>
  </si>
  <si>
    <t>Organizationally asymmetric temporal trajectory</t>
  </si>
  <si>
    <t>NIST D4 rising across year bands; SWGDE D4 flat</t>
  </si>
  <si>
    <t>Whole-corpus trend (year-band × org)</t>
  </si>
  <si>
    <t>Mean D4 by year band, split by organization: NIST 1.40 → 2.07 → 3.00 (2020-2021 → 2022-2023 → 2024-2025); SWGDE 1.40 → 1.00 → 1.21. NIST is improving on AI-specific validation; SWGDE is not.</t>
  </si>
  <si>
    <t>NIST D4 2020-2021 n=10 mean=1.40; 2022-2023 n=14 mean=2.07; 2024-2025 n=13 mean=3.00. SWGDE D4 2020-2021 n=5 mean=1.40; 2022-2023 n=8 mean=1.00; 2024-2025 n=28 mean=1.21.</t>
  </si>
  <si>
    <t>Also confirms that the NIST-SWGDE differential (GP4) is widening, not shrinking. Pilot-scale observation; dissertation-scale version should apply a regression with doc-family controls.</t>
  </si>
  <si>
    <t>Theme name</t>
  </si>
  <si>
    <t>Primary codes</t>
  </si>
  <si>
    <t>Anchor description</t>
  </si>
  <si>
    <t>T1</t>
  </si>
  <si>
    <t>Organizational scope constraints</t>
  </si>
  <si>
    <t>ORG-01, ORG-02, ORG-03</t>
  </si>
  <si>
    <t>SDO-level scope statements explicitly exclude AI content or restrict scope to non-AI forensic categories. Dominant in SWGDE Video/Imaging/Mobile sub-families; also present in NIST SP 800 cybersecurity documents that exclude AI deployment (e.g., SP 800-218A).</t>
  </si>
  <si>
    <t>T2</t>
  </si>
  <si>
    <t>Validation methodology gap (technical)</t>
  </si>
  <si>
    <t>TEC-01, TEC-02</t>
  </si>
  <si>
    <t>Validation procedures exist for non-AI tool categories but are absent, underspecified, or mathematically intractable for AI-based tools. Particularly visible in CFTT methodology, where the test harness assumes deterministic tool behavior.</t>
  </si>
  <si>
    <t>T3</t>
  </si>
  <si>
    <t>Measurement complexity and benchmark incomparability</t>
  </si>
  <si>
    <t>TEC-01, TEC-03, TEC-04</t>
  </si>
  <si>
    <t>Standards acknowledge that AI model evaluation is complex and that benchmarks across models are not directly comparable, but do not provide prescriptive confidence measurement protocols. NIST AI 100-2e2025 includes explicit non-recommendations on risk tolerance and a mathematical impossibility argument for ML confidence proofs.</t>
  </si>
  <si>
    <t>T4</t>
  </si>
  <si>
    <t>Confidence-adjacent language without quantitative grounding</t>
  </si>
  <si>
    <t>CRS-01, CRS-02</t>
  </si>
  <si>
    <t>Documents use competency, adequacy, and reliability language ('adequate to ensure competency', 'reliable results', 'appropriate confidence') without operational thresholds, rubrics, or quantitative standards. CRS flags are widely applied across the corpus.</t>
  </si>
  <si>
    <t>T5</t>
  </si>
  <si>
    <t>Development-process and comment-cycle friction</t>
  </si>
  <si>
    <t>PRO-01, PRO-02, PRO-03</t>
  </si>
  <si>
    <t>Public-comment cycles, working-group meetings, and revision pathways show evidence of stall, compressed timelines, or incomplete integration of submitted feedback on AI topics. Visible in NIST AI RMF development record and in SWGDE draft-to-final revision pairs.</t>
  </si>
  <si>
    <t>T6</t>
  </si>
  <si>
    <t>Topical coverage gaps and deferred-to-future-cycle</t>
  </si>
  <si>
    <t>ORG-05, PRO-04</t>
  </si>
  <si>
    <t>AI topics are identified as out-of-scope for the current cycle and explicitly deferred to a future version (e.g., 'will be included in a future revision'). Distinct from T1 (scope exclusion as policy) and T5 (process stall); this is scheduling-level deferral.</t>
  </si>
  <si>
    <t>T7</t>
  </si>
  <si>
    <t>Codebook-constitutive document dependence</t>
  </si>
  <si>
    <t>ORG-06, ORG-07 (Decision Log 2026-04-18)</t>
  </si>
  <si>
    <t>Certain foundational documents (NIST SP 800-53 Rev. 5, AI RMF 1.0) serve as anchors for many other documents in the corpus. Their individual codings disproportionately determine aggregate patterns; saturation depends on including them. Documented as codebook-constitutive in the coding log.</t>
  </si>
  <si>
    <t>T8</t>
  </si>
  <si>
    <t>Federal AI governance instability (external process barrier)</t>
  </si>
  <si>
    <t>EMER-01 (held); PRO-02, ORG-01, PRO-04 as applied</t>
  </si>
  <si>
    <t>Federal executive-branch policy reversals (EO 14110 rescission; AI Action Plan revision) propagate through standards documents as access failures, scope exclusions, and deferrals. Cross-document contextual theme, not an activated inductive code. Coding Log Entries #19, #98, #105; Decision Log Amendment #3 (2026-04-21).</t>
  </si>
  <si>
    <t>Layer 1 — Cross-Phase Integration Matrix</t>
  </si>
  <si>
    <t>Rows: Phase 2 themes (T1–T8). Columns: Phase 1 gap patterns (GP1–GP6). Cells: Edgar &amp; Manz criterion or blank.</t>
  </si>
  <si>
    <t>Theme</t>
  </si>
  <si>
    <t>GP1
Corpus-wide confidence floor</t>
  </si>
  <si>
    <t>GP2
D4 as dominant limiter (AIDFIR gap)</t>
  </si>
  <si>
    <t>GP3
CFTT reproducibility-validation paradox</t>
  </si>
  <si>
    <t>GP4
NIST-SWGDE cross-dimensional differential</t>
  </si>
  <si>
    <t>GP5
AI presence without confidence integration</t>
  </si>
  <si>
    <t>GP6
Organizationally asymmetric temporal trajectory</t>
  </si>
  <si>
    <t>T1 — Organizational scope constraints</t>
  </si>
  <si>
    <t>EXPL</t>
  </si>
  <si>
    <t>COMP</t>
  </si>
  <si>
    <t>T2 — Validation methodology gap (technical)</t>
  </si>
  <si>
    <t>T3 — Measurement complexity and benchmark incomparability</t>
  </si>
  <si>
    <t>T4 — Confidence-adjacent language without quantitative grounding</t>
  </si>
  <si>
    <t>CONV</t>
  </si>
  <si>
    <t>EXPN</t>
  </si>
  <si>
    <t>T5 — Development-process and comment-cycle friction</t>
  </si>
  <si>
    <t>T6 — Topical coverage gaps and deferred-to-future-cycle</t>
  </si>
  <si>
    <t>T7 — Codebook-constitutive document dependence</t>
  </si>
  <si>
    <t>T8 — Federal AI governance instability (external process barrier)</t>
  </si>
  <si>
    <t>Legend</t>
  </si>
  <si>
    <t>Convergence — QUAN and QUAL arrive at the same finding via different methods</t>
  </si>
  <si>
    <t>Complementarity — QUAN and QUAL address different facets of the same question</t>
  </si>
  <si>
    <t>Expansion — QUAL extends QUAN into a new domain/dimension</t>
  </si>
  <si>
    <t>Explanation — QUAL provides a mechanism for a QUAN finding</t>
  </si>
  <si>
    <t>Gap pattern</t>
  </si>
  <si>
    <t>Criterion</t>
  </si>
  <si>
    <t>Mapping rationale</t>
  </si>
  <si>
    <t>Phase 2 anchor</t>
  </si>
  <si>
    <t>Phase 1 statistic</t>
  </si>
  <si>
    <t>Confidence</t>
  </si>
  <si>
    <t>T1: Organizational scope constraints</t>
  </si>
  <si>
    <t>GP1: Corpus-wide confidence floor</t>
  </si>
  <si>
    <t>SDO scope exclusions directly produce floor-level aggregate scores because excluded AI content forces D4 to 1, which under min-score aggregation forces doc_score to 1.</t>
  </si>
  <si>
    <t>Coding log Entries #98 (SP 800-218A §1.2 AI exclusion), #23, #84 (SWGDE Video scope statements).</t>
  </si>
  <si>
    <t>57 of 78 docs at doc_score=1; D4 mean 1.68 corpus-wide.</t>
  </si>
  <si>
    <t>High confidence; mechanism is directly traceable from passage to score.</t>
  </si>
  <si>
    <t>GP2: D4 as dominant limiter (AIDFIR gap)</t>
  </si>
  <si>
    <t>Same mechanism as T1×GP1 at the dimension level: scope exclusion forces D4 to its floor, making D4 the limiting dimension.</t>
  </si>
  <si>
    <t>Coding log Entries #98, #23, #84; ORG-01 applications broadly.</t>
  </si>
  <si>
    <t>52 of 78 docs D4-limited; ORG-01 is the most frequent primary code in the Phase 2 log.</t>
  </si>
  <si>
    <t>High confidence.</t>
  </si>
  <si>
    <t>GP4: NIST-SWGDE cross-dimensional differential</t>
  </si>
  <si>
    <t>SWGDE's sub-discipline scope (Video, Imaging, Mobile, Forensics) limits AI integration more than NIST's general-purpose scope. Explains a measurable share of the +1.02 D4 differential.</t>
  </si>
  <si>
    <t>Coding log Entries #83, #127, #139, #175 (SWGDE sub-discipline scope statements).</t>
  </si>
  <si>
    <t>NIST D4 2.22 vs. SWGDE D4 1.20; Cohen's d ≈ 0.94.</t>
  </si>
  <si>
    <t>Moderate-to-high; should be paired with T5 (process) and T8 (governance) for full account of the differential.</t>
  </si>
  <si>
    <t>GP5: AI presence without confidence integration</t>
  </si>
  <si>
    <t>A subset of AI-present documents have partial scope coverage of AI (SWGDE Image Authentication, Content Analysis) where AI is named but scope does not extend to validation practices.</t>
  </si>
  <si>
    <t>Coding log Entries for Docs #75-78 (SWGDE image/video with partial AI coverage).</t>
  </si>
  <si>
    <t>19 AI-present but low-score documents; 6 are SWGDE.</t>
  </si>
  <si>
    <t>Moderate; complementarity rather than full explanation.</t>
  </si>
  <si>
    <t>GP6: Organizationally asymmetric temporal trajectory</t>
  </si>
  <si>
    <t>SWGDE scope has not expanded to cover AI deployment over the study period, so D4 trajectory is flat regardless of AI developments outside the SDO.</t>
  </si>
  <si>
    <t>Coding log entries on SWGDE document coverage across 2020-2025.</t>
  </si>
  <si>
    <t>SWGDE D4 trajectory: 1.40 → 1.00 → 1.21 across three year bands.</t>
  </si>
  <si>
    <t>T2: Validation methodology gap (technical)</t>
  </si>
  <si>
    <t>Absence of AI-applicable validation methodology prevents D4 from rising above 1 in operational documents, which forces doc_score to 1.</t>
  </si>
  <si>
    <t>Coding log Entries covering TEC-01, TEC-02 across NIST and SWGDE corpora.</t>
  </si>
  <si>
    <t>57 of 78 docs at score 1; TEC-01/TEC-02 frequent in Phase 2 log.</t>
  </si>
  <si>
    <t>High confidence; the inverse relationship is structurally grounded.</t>
  </si>
  <si>
    <t>D4-limited pattern follows directly from validation methodology absence. Where methodology is articulated (e.g., AI RMF Playbook), D4 rises.</t>
  </si>
  <si>
    <t>Coding log entries where TEC-01/TEC-02 applied; contrasted with Doc #2 (AI RMF Playbook, D4=4) where methodology framework exists.</t>
  </si>
  <si>
    <t>52 of 78 D4-limited; documents with D4 ≥ 3 concentrate in NIST AI/RMF sub-family.</t>
  </si>
  <si>
    <t>GP3: CFTT reproducibility-validation paradox</t>
  </si>
  <si>
    <t>CFTT methodology was designed for deterministic tools (write blockers, disk imagers) with bit-level reproducibility. Applied to AI tools it yields D3=5 (reproducibility maximal) but D4=1 (no AI validation framework integrated). Core mechanism.</t>
  </si>
  <si>
    <t>Coding log entries on CFTT methodology; Decision Log noting CFTT as codebook-constitutive.</t>
  </si>
  <si>
    <t>14/14 CFTT Test Reports with exact D1=3, D2=4, D3=5, D4=1 signature.</t>
  </si>
  <si>
    <t>Very high confidence; the uniformity of the CFTT signature is definitive.</t>
  </si>
  <si>
    <t>Both organizations lack AI validation methodology, but for different reasons. NIST has begun articulating methodology in AI/RMF family; SWGDE's sub-disciplines have not.</t>
  </si>
  <si>
    <t>Coding log TEC-01/TEC-02 applications split by source_family.</t>
  </si>
  <si>
    <t>NIST D4 higher primarily via AI/RMF; SWGDE D4 uniformly low.</t>
  </si>
  <si>
    <t>Moderate; complementarity characterization is interpretive.</t>
  </si>
  <si>
    <t>AI content can be present (D4 ≥ 3) while validation methodology is absent, leaving D1 or D2 as the limiting dimension. This is the operational form of 'acknowledge AI, cannot yet validate'.</t>
  </si>
  <si>
    <t>Coding log entries on NIST AI RMF, CSF AI Profile.</t>
  </si>
  <si>
    <t>19 docs AI-present but score &lt; 3; D4 ≥ 3 with D1 or D2 = 1-2.</t>
  </si>
  <si>
    <t>T3: Measurement complexity and benchmark incomparability</t>
  </si>
  <si>
    <t>Mathematical and measurement complexity arguments (impossibility of confidence proofs for ML models; benchmark incomparability) provide a structural floor beyond which D4 cannot rise under current standards.</t>
  </si>
  <si>
    <t>Coding log Entries #75 (NIST AI 100-2e2025 benchmark incomparability), #76 (NIST non-recommendation on risk tolerance).</t>
  </si>
  <si>
    <t>57 of 78 docs at score 1; D4 corpus mean 1.68.</t>
  </si>
  <si>
    <t>High; Phase 2 passages explicitly articulate the structural barrier.</t>
  </si>
  <si>
    <t>Same mechanism operating on D4 specifically.</t>
  </si>
  <si>
    <t>Coding log Entry #75 (benchmark incomparability as structural barrier).</t>
  </si>
  <si>
    <t>52 of 78 D4-limited.</t>
  </si>
  <si>
    <t>High.</t>
  </si>
  <si>
    <t>Even when AI content is present, measurement complexity prevents translating that presence into quantified confidence (D1, D2).</t>
  </si>
  <si>
    <t>Coding log entries on NIST AI RMF Measurement function.</t>
  </si>
  <si>
    <t>19 AI-present but score &lt; 3; D4 ≥ 3 with D1/D2 at 1-2.</t>
  </si>
  <si>
    <t>NIST AI documents increasingly engage with measurement complexity explicitly (2024-2025 D4 mean 3.00). SWGDE does not articulate this complexity, so trajectory is flat.</t>
  </si>
  <si>
    <t>Coding log entries on NIST AI 100-2e2025 vs. SWGDE AI-adjacent documents.</t>
  </si>
  <si>
    <t>NIST D4 2024-2025 mean 3.00 vs. SWGDE 1.21.</t>
  </si>
  <si>
    <t>Moderate; observed differential is consistent with but not solely attributable to T3.</t>
  </si>
  <si>
    <t>T4: Confidence-adjacent language without quantitative grounding</t>
  </si>
  <si>
    <t>Phase 2 inductive coding independently identifies confidence-adjacent language without quantitative grounding as a pervasive corpus feature, converging on the same finding Phase 1 operationalizes as score-1 prevalence.</t>
  </si>
  <si>
    <t>CRS-01, CRS-02 code applications across Phase 2 log (frequent; see Code Frequency sheet).</t>
  </si>
  <si>
    <t>57 of 78 docs at score 1; CRS flags widely distributed.</t>
  </si>
  <si>
    <t>High confidence; classic convergent mixed methods finding.</t>
  </si>
  <si>
    <t>Phase 1 finding is statistical: D4 is the limiting dimension. Phase 2 extends this by specifying a linguistic mechanism: documents use confidence-adjacent language to appear to address AI validation without operationalizing it.</t>
  </si>
  <si>
    <t>Coding log entries applying CRS-01 or CRS-02 in combination with D4-limited docs.</t>
  </si>
  <si>
    <t>52 of 78 D4-limited; CRS flags frequently co-occur with D4-limiting documents.</t>
  </si>
  <si>
    <t>High confidence; expansion rather than convergence because the linguistic mechanism is a new finding.</t>
  </si>
  <si>
    <t>CFTT Test Reports use confidence-adjacent language at D1 (accuracy claims) without reaching D4. CRS pattern shows up in a different dimensional location than for non-CFTT documents.</t>
  </si>
  <si>
    <t>Coding log entries on CFTT accuracy and reliability language.</t>
  </si>
  <si>
    <t>CFTT D1=3 uniformly; CRS flags applicable but not the D4-limiting issue.</t>
  </si>
  <si>
    <t>Moderate.</t>
  </si>
  <si>
    <t>AI-present docs (D4 ≥ 3) still use confidence-adjacent language at D1/D2 level, explaining why aggregate score stays below 3 despite substantive AI content.</t>
  </si>
  <si>
    <t>Coding log entries on NIST AI RMF, SWGDE AI-adjacent documents.</t>
  </si>
  <si>
    <t>19 AI-present but low-score documents; D1/D2 frequently at 1-2.</t>
  </si>
  <si>
    <t>T5: Development-process and comment-cycle friction</t>
  </si>
  <si>
    <t>Phase 1 shows floor prevalence. Phase 2 extends by surfacing process-level causes (stalled comment cycles, compressed timelines) that Phase 1 could not detect from finished documents alone.</t>
  </si>
  <si>
    <t>Coding log Entry #19 (AI RMF comment archive inaccessibility), other PRO-01/PRO-02 applications.</t>
  </si>
  <si>
    <t>57 of 78 at score 1.</t>
  </si>
  <si>
    <t>High confidence; expansion into process dimension is core to Phase 2 contribution.</t>
  </si>
  <si>
    <t>SWGDE update cadence, volunteer working-group structure, and committee scope limit AI integration speed relative to NIST. Explains a share of the org differential.</t>
  </si>
  <si>
    <t>Coding log entries on SWGDE working-group process across sub-disciplines.</t>
  </si>
  <si>
    <t>NIST-SWGDE D4 differential +1.02.</t>
  </si>
  <si>
    <t>Moderate-to-high; should be combined with T1 for full account.</t>
  </si>
  <si>
    <t>Divergent trajectories reflect divergent process infrastructures. NIST's centralized AI initiatives accelerate D4 rise; SWGDE's distributed working groups do not.</t>
  </si>
  <si>
    <t>Coding log entries on NIST vs. SWGDE update pathways.</t>
  </si>
  <si>
    <t>NIST D4 1.40 → 3.00; SWGDE 1.40 → 1.21.</t>
  </si>
  <si>
    <t>Moderate-to-high.</t>
  </si>
  <si>
    <t>T6: Topical coverage gaps and deferred-to-future-cycle</t>
  </si>
  <si>
    <t>Deferred-to-future-cycle decisions keep AI content out of scored documents, preserving the floor.</t>
  </si>
  <si>
    <t>Coding log Entry #105 (NIST IR 8596 footnote deferral), other PRO-04 applications.</t>
  </si>
  <si>
    <t>D4 specifically is the most common dimension to be deferred; topical coverage gaps accumulate at D4.</t>
  </si>
  <si>
    <t>Coding log PRO-04 and ORG-05 applications concentrated on AI topics.</t>
  </si>
  <si>
    <t>NIST defers explicitly (documented footnote deferrals); SWGDE defers implicitly (topics simply don't appear in scope). Different mechanisms, both present, both contribute to differential.</t>
  </si>
  <si>
    <t>Coding log entries split by org on PRO-04 vs. ORG-05.</t>
  </si>
  <si>
    <t>D4 differential +1.02.</t>
  </si>
  <si>
    <t>AI-present docs often reference future-cycle deferrals for the validation methodology that would raise D1/D2.</t>
  </si>
  <si>
    <t>Coding log entries on NIST AI RMF referencing future revisions.</t>
  </si>
  <si>
    <t>19 AI-present but score &lt; 3.</t>
  </si>
  <si>
    <t>Deferrals have a temporal accumulation effect. SWGDE's flat trajectory reflects repeated deferral of AI integration into future cycles.</t>
  </si>
  <si>
    <t>Coding log entries on SWGDE AI deferrals across 2020-2025.</t>
  </si>
  <si>
    <t>SWGDE D4 flat 1.40 → 1.21.</t>
  </si>
  <si>
    <t>T7: Codebook-constitutive document dependence</t>
  </si>
  <si>
    <t>Phase 1 statistics treat all documents as independent observations. Phase 2 identifies that certain documents (SP 800-53 Rev. 5, AI RMF 1.0) are methodologically constitutive — their codings disproportionately anchor corpus patterns.</t>
  </si>
  <si>
    <t>Decision Log 2026-04-18 entry; codebook-constitutive κ status.</t>
  </si>
  <si>
    <t>5 documents marked kappa codebook-constitutive; linked to 57 score-1 documents via anchor references.</t>
  </si>
  <si>
    <t>High confidence; methodological expansion, not empirical convergence.</t>
  </si>
  <si>
    <t>Same — extends the D4 pattern by showing that anchor documents' D4 codings propagate through the corpus.</t>
  </si>
  <si>
    <t>Decision Log 2026-04-18; SP 800-53 Rev. 5 as anchor for 10+ dependent documents.</t>
  </si>
  <si>
    <t>52 D4-limited; anchor dependencies observable in Phase 2 log structure.</t>
  </si>
  <si>
    <t>NIST has more constitutive anchor documents than SWGDE; extends understanding of why NIST scores drive upward when anchors are in the AI/RMF family.</t>
  </si>
  <si>
    <t>Decision Log 2026-04-18; anchor-document counts by org.</t>
  </si>
  <si>
    <t>NIST-SWGDE differential +1.02 on D4.</t>
  </si>
  <si>
    <t>Moderate; dissertation-scale analysis should quantify anchor-document influence.</t>
  </si>
  <si>
    <t>T8: Federal AI governance instability (external process barrier)</t>
  </si>
  <si>
    <t>Phase 2 Theme 8 introduces external-process causes (federal policy reversals) that Phase 1 could not see from score data alone.</t>
  </si>
  <si>
    <t>Coding log Entries #19, #98, #105; Decision Log Amendment #3.</t>
  </si>
  <si>
    <t>57 of 78 at score 1; 3 confirmed T8-relevant passages.</t>
  </si>
  <si>
    <t>Moderate; pilot-scale evidence, stronger at dissertation scale.</t>
  </si>
  <si>
    <t>Federal governance instability directly produces D4-limited outcomes via scope exclusions (SP 800-218A invoking EO 14110) and deferrals (IR 8596 footnote referencing AI Action Plan).</t>
  </si>
  <si>
    <t>Coding log Entries #98 (SP 800-218A §1.2), #105 (IR 8596 §1 fn 5).</t>
  </si>
  <si>
    <t>Docs #1, #20, #13 all D4=1.</t>
  </si>
  <si>
    <t>Moderate-to-high; three passages link federal governance directly to D4 floor.</t>
  </si>
  <si>
    <t>Federal instability affects NIST more directly than SWGDE (NIST under federal executive branch; SWGDE is volunteer-based). Contributes a different mechanism than T1 and T5 to the same differential.</t>
  </si>
  <si>
    <t>Coding log Entries #19, #98 (NIST documents directly affected); SWGDE documents not similarly coded.</t>
  </si>
  <si>
    <t>Moderate; complementary to organizational and process mechanisms.</t>
  </si>
  <si>
    <t>Federal governance instability contributes to the 'AI present, cannot operationalize' pattern: NIST AI RMF documents remain in revision under shifting federal guidance.</t>
  </si>
  <si>
    <t>Coding log Entry #105 (AI RMF under revision per AI Action Plan).</t>
  </si>
  <si>
    <t>NIST AI RMF family (Docs #1, #2, #3) are in the 19 AI-present but score &lt; 3 set.</t>
  </si>
  <si>
    <t>NIST D4 2024-2025 rise (to mean 3.00) partially reflects publication pace before the January 2025 rescission; post-rescission publications may show different trajectory. Pilot-scale observation; requires post-2025 follow-up.</t>
  </si>
  <si>
    <t>Coding log entries on pre/post EO 14110 rescission publication patterns.</t>
  </si>
  <si>
    <t>NIST D4 2024-2025 n=13 mean=3.00.</t>
  </si>
  <si>
    <t>Low-to-moderate; pilot-scale with small post-rescission n.</t>
  </si>
  <si>
    <t>Total filled</t>
  </si>
  <si>
    <t>Total possible</t>
  </si>
  <si>
    <t>Coverage</t>
  </si>
  <si>
    <t>Total (all themes)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</si>
</sst>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4"/>
      <name val="Arial"/>
      <charset val="1"/>
    </font>
    <font>
      <i/>
      <sz val="10"/>
      <color rgb="FF555555"/>
      <name val="Arial"/>
      <charset val="1"/>
    </font>
    <font>
      <sz val="10"/>
      <name val="Arial"/>
      <charset val="1"/>
    </font>
    <font>
      <b/>
      <sz val="11"/>
      <color rgb="FF1F3864"/>
      <name val="Arial"/>
      <charset val="1"/>
    </font>
    <font>
      <b/>
      <sz val="10"/>
      <name val="Arial"/>
      <charset val="1"/>
    </font>
    <font>
      <b/>
      <sz val="11"/>
      <color rgb="FFFFFFFF"/>
      <name val="Arial"/>
      <charset val="1"/>
    </font>
    <font>
      <b/>
      <sz val="11"/>
      <name val="Arial"/>
      <charset val="1"/>
    </font>
    <font>
      <sz val="10"/>
      <name val="Arial"/>
      <family val="2"/>
    </font>
  </fonts>
  <fills count="9">
    <fill>
      <patternFill patternType="none"/>
    </fill>
    <fill>
      <patternFill patternType="gray125"/>
    </fill>
    <fill>
      <patternFill patternType="solid">
        <fgColor rgb="FF1F3864"/>
        <bgColor rgb="FF333333"/>
      </patternFill>
    </fill>
    <fill>
      <patternFill patternType="solid">
        <fgColor rgb="FFD9E1F2"/>
        <bgColor rgb="FFBDD7EE"/>
      </patternFill>
    </fill>
    <fill>
      <patternFill patternType="solid">
        <fgColor rgb="FFF8CBAD"/>
        <bgColor rgb="FFFFEB9C"/>
      </patternFill>
    </fill>
    <fill>
      <patternFill patternType="solid">
        <fgColor rgb="FFF2F2F2"/>
        <bgColor rgb="FFFFFFFF"/>
      </patternFill>
    </fill>
    <fill>
      <patternFill patternType="solid">
        <fgColor rgb="FFFFEB9C"/>
        <bgColor rgb="FFF8CBAD"/>
      </patternFill>
    </fill>
    <fill>
      <patternFill patternType="solid">
        <fgColor rgb="FFC6EFCE"/>
        <bgColor rgb="FFD9E1F2"/>
      </patternFill>
    </fill>
    <fill>
      <patternFill patternType="solid">
        <fgColor rgb="FFBDD7EE"/>
        <bgColor rgb="FFD9E1F2"/>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8">
    <xf numFmtId="0" fontId="0" fillId="0" borderId="0" xfId="0"/>
    <xf numFmtId="0" fontId="3" fillId="0" borderId="0" xfId="0" applyFont="1" applyAlignment="1">
      <alignment horizontal="left" vertical="top" wrapText="1"/>
    </xf>
    <xf numFmtId="0" fontId="2" fillId="0" borderId="0" xfId="0" applyFont="1"/>
    <xf numFmtId="0" fontId="1" fillId="0" borderId="0" xfId="0" applyFont="1"/>
    <xf numFmtId="0" fontId="1" fillId="0" borderId="0" xfId="0" applyFont="1"/>
    <xf numFmtId="0" fontId="2" fillId="0" borderId="0" xfId="0" applyFont="1"/>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0" fontId="6"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5" fillId="3" borderId="1" xfId="0" applyFont="1" applyFill="1" applyBorder="1" applyAlignment="1">
      <alignment horizontal="left" vertical="top" wrapText="1"/>
    </xf>
    <xf numFmtId="0" fontId="7"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5" fillId="0" borderId="0" xfId="0" applyFont="1"/>
    <xf numFmtId="0" fontId="5" fillId="7"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5" fillId="3" borderId="1" xfId="0" applyFont="1" applyFill="1" applyBorder="1"/>
    <xf numFmtId="0" fontId="5" fillId="3" borderId="1" xfId="0" applyFont="1" applyFill="1" applyBorder="1" applyAlignment="1">
      <alignment horizontal="center" vertical="center" wrapText="1"/>
    </xf>
    <xf numFmtId="164" fontId="5"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555555"/>
      <rgbColor rgb="FF999999"/>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zoomScaleNormal="100" workbookViewId="0"/>
  </sheetViews>
  <sheetFormatPr defaultColWidth="8.6328125" defaultRowHeight="14.5" x14ac:dyDescent="0.35"/>
  <cols>
    <col min="1" max="1" width="32" customWidth="1"/>
    <col min="2" max="2" width="95" customWidth="1"/>
  </cols>
  <sheetData>
    <row r="1" spans="1:2" ht="18" x14ac:dyDescent="0.4">
      <c r="A1" s="4" t="s">
        <v>0</v>
      </c>
    </row>
    <row r="2" spans="1:2" x14ac:dyDescent="0.35">
      <c r="A2" s="5" t="s">
        <v>1</v>
      </c>
    </row>
    <row r="3" spans="1:2" x14ac:dyDescent="0.35">
      <c r="A3" s="6"/>
      <c r="B3" s="6"/>
    </row>
    <row r="4" spans="1:2" x14ac:dyDescent="0.35">
      <c r="A4" s="7" t="s">
        <v>2</v>
      </c>
      <c r="B4" s="8"/>
    </row>
    <row r="5" spans="1:2" ht="126" x14ac:dyDescent="0.35">
      <c r="A5" s="7" t="s">
        <v>3</v>
      </c>
      <c r="B5" s="8"/>
    </row>
    <row r="6" spans="1:2" x14ac:dyDescent="0.35">
      <c r="A6" s="6"/>
      <c r="B6" s="6"/>
    </row>
    <row r="7" spans="1:2" ht="28" x14ac:dyDescent="0.35">
      <c r="A7" s="7" t="s">
        <v>4</v>
      </c>
      <c r="B7" s="8"/>
    </row>
    <row r="8" spans="1:2" x14ac:dyDescent="0.35">
      <c r="A8" s="9" t="s">
        <v>5</v>
      </c>
      <c r="B8" s="6" t="s">
        <v>6</v>
      </c>
    </row>
    <row r="9" spans="1:2" ht="25" x14ac:dyDescent="0.35">
      <c r="A9" s="9" t="s">
        <v>7</v>
      </c>
      <c r="B9" s="6" t="s">
        <v>8</v>
      </c>
    </row>
    <row r="10" spans="1:2" ht="25" x14ac:dyDescent="0.35">
      <c r="A10" s="9" t="s">
        <v>9</v>
      </c>
      <c r="B10" s="6" t="s">
        <v>10</v>
      </c>
    </row>
    <row r="11" spans="1:2" ht="25" x14ac:dyDescent="0.35">
      <c r="A11" s="9" t="s">
        <v>11</v>
      </c>
      <c r="B11" s="6" t="s">
        <v>12</v>
      </c>
    </row>
    <row r="12" spans="1:2" x14ac:dyDescent="0.35">
      <c r="A12" s="6"/>
      <c r="B12" s="6"/>
    </row>
    <row r="13" spans="1:2" ht="28" x14ac:dyDescent="0.35">
      <c r="A13" s="7" t="s">
        <v>13</v>
      </c>
      <c r="B13" s="8"/>
    </row>
    <row r="14" spans="1:2" ht="25" x14ac:dyDescent="0.35">
      <c r="A14" s="9" t="s">
        <v>14</v>
      </c>
      <c r="B14" s="6" t="s">
        <v>15</v>
      </c>
    </row>
    <row r="15" spans="1:2" ht="25" x14ac:dyDescent="0.35">
      <c r="A15" s="9" t="s">
        <v>16</v>
      </c>
      <c r="B15" s="6" t="s">
        <v>17</v>
      </c>
    </row>
    <row r="16" spans="1:2" ht="25" x14ac:dyDescent="0.35">
      <c r="A16" s="9" t="s">
        <v>18</v>
      </c>
      <c r="B16" s="6" t="s">
        <v>19</v>
      </c>
    </row>
    <row r="17" spans="1:2" x14ac:dyDescent="0.35">
      <c r="A17" s="6"/>
      <c r="B17" s="6"/>
    </row>
    <row r="18" spans="1:2" x14ac:dyDescent="0.35">
      <c r="A18" s="7" t="s">
        <v>20</v>
      </c>
      <c r="B18" s="8"/>
    </row>
    <row r="19" spans="1:2" ht="37.5" x14ac:dyDescent="0.35">
      <c r="A19" s="9" t="s">
        <v>21</v>
      </c>
      <c r="B19" s="6" t="s">
        <v>22</v>
      </c>
    </row>
    <row r="20" spans="1:2" ht="25" x14ac:dyDescent="0.35">
      <c r="A20" s="9" t="s">
        <v>23</v>
      </c>
      <c r="B20" s="6" t="s">
        <v>24</v>
      </c>
    </row>
    <row r="21" spans="1:2" ht="25" x14ac:dyDescent="0.35">
      <c r="A21" s="9" t="s">
        <v>25</v>
      </c>
      <c r="B21" s="6" t="s">
        <v>26</v>
      </c>
    </row>
    <row r="22" spans="1:2" ht="25" x14ac:dyDescent="0.35">
      <c r="A22" s="9" t="s">
        <v>27</v>
      </c>
      <c r="B22" s="6" t="s">
        <v>28</v>
      </c>
    </row>
    <row r="23" spans="1:2" ht="37.5" x14ac:dyDescent="0.35">
      <c r="A23" s="9" t="s">
        <v>29</v>
      </c>
      <c r="B23" s="6" t="s">
        <v>30</v>
      </c>
    </row>
    <row r="24" spans="1:2" x14ac:dyDescent="0.35">
      <c r="A24" s="6"/>
      <c r="B24" s="6"/>
    </row>
    <row r="25" spans="1:2" x14ac:dyDescent="0.35">
      <c r="A25" s="7" t="s">
        <v>31</v>
      </c>
      <c r="B25" s="8"/>
    </row>
    <row r="26" spans="1:2" x14ac:dyDescent="0.35">
      <c r="A26" s="9" t="s">
        <v>32</v>
      </c>
      <c r="B26" s="6" t="s">
        <v>33</v>
      </c>
    </row>
    <row r="27" spans="1:2" ht="25" x14ac:dyDescent="0.35">
      <c r="A27" s="9" t="s">
        <v>34</v>
      </c>
      <c r="B27" s="6" t="s">
        <v>35</v>
      </c>
    </row>
    <row r="28" spans="1:2" x14ac:dyDescent="0.35">
      <c r="A28" s="9" t="s">
        <v>36</v>
      </c>
      <c r="B28" s="6" t="s">
        <v>37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zoomScaleNormal="100" workbookViewId="0"/>
  </sheetViews>
  <sheetFormatPr defaultColWidth="8.6328125" defaultRowHeight="14.5" x14ac:dyDescent="0.35"/>
  <cols>
    <col min="1" max="1" width="8" customWidth="1"/>
    <col min="2" max="2" width="40" customWidth="1"/>
    <col min="3" max="3" width="45" customWidth="1"/>
    <col min="4" max="4" width="22" customWidth="1"/>
    <col min="5" max="7" width="55" customWidth="1"/>
  </cols>
  <sheetData>
    <row r="1" spans="1:7" x14ac:dyDescent="0.35">
      <c r="A1" s="10" t="s">
        <v>38</v>
      </c>
      <c r="B1" s="10" t="s">
        <v>39</v>
      </c>
      <c r="C1" s="10" t="s">
        <v>40</v>
      </c>
      <c r="D1" s="10" t="s">
        <v>41</v>
      </c>
      <c r="E1" s="10" t="s">
        <v>42</v>
      </c>
      <c r="F1" s="10" t="s">
        <v>43</v>
      </c>
      <c r="G1" s="10" t="s">
        <v>44</v>
      </c>
    </row>
    <row r="2" spans="1:7" ht="114.75" customHeight="1" x14ac:dyDescent="0.35">
      <c r="A2" s="11" t="s">
        <v>45</v>
      </c>
      <c r="B2" s="11" t="s">
        <v>46</v>
      </c>
      <c r="C2" s="11" t="s">
        <v>47</v>
      </c>
      <c r="D2" s="11" t="s">
        <v>48</v>
      </c>
      <c r="E2" s="11" t="s">
        <v>49</v>
      </c>
      <c r="F2" s="11" t="s">
        <v>50</v>
      </c>
      <c r="G2" s="11" t="s">
        <v>51</v>
      </c>
    </row>
    <row r="3" spans="1:7" ht="114.75" customHeight="1" x14ac:dyDescent="0.35">
      <c r="A3" s="11" t="s">
        <v>52</v>
      </c>
      <c r="B3" s="11" t="s">
        <v>53</v>
      </c>
      <c r="C3" s="11" t="s">
        <v>54</v>
      </c>
      <c r="D3" s="11" t="s">
        <v>55</v>
      </c>
      <c r="E3" s="11" t="s">
        <v>56</v>
      </c>
      <c r="F3" s="11" t="s">
        <v>57</v>
      </c>
      <c r="G3" s="11" t="s">
        <v>58</v>
      </c>
    </row>
    <row r="4" spans="1:7" ht="114.75" customHeight="1" x14ac:dyDescent="0.35">
      <c r="A4" s="11" t="s">
        <v>59</v>
      </c>
      <c r="B4" s="11" t="s">
        <v>60</v>
      </c>
      <c r="C4" s="11" t="s">
        <v>61</v>
      </c>
      <c r="D4" s="11" t="s">
        <v>62</v>
      </c>
      <c r="E4" s="11" t="s">
        <v>63</v>
      </c>
      <c r="F4" s="11" t="s">
        <v>64</v>
      </c>
      <c r="G4" s="11" t="s">
        <v>65</v>
      </c>
    </row>
    <row r="5" spans="1:7" ht="114.75" customHeight="1" x14ac:dyDescent="0.35">
      <c r="A5" s="11" t="s">
        <v>66</v>
      </c>
      <c r="B5" s="11" t="s">
        <v>67</v>
      </c>
      <c r="C5" s="11" t="s">
        <v>68</v>
      </c>
      <c r="D5" s="11" t="s">
        <v>69</v>
      </c>
      <c r="E5" s="11" t="s">
        <v>70</v>
      </c>
      <c r="F5" s="11" t="s">
        <v>71</v>
      </c>
      <c r="G5" s="11" t="s">
        <v>72</v>
      </c>
    </row>
    <row r="6" spans="1:7" ht="114.75" customHeight="1" x14ac:dyDescent="0.35">
      <c r="A6" s="11" t="s">
        <v>73</v>
      </c>
      <c r="B6" s="11" t="s">
        <v>74</v>
      </c>
      <c r="C6" s="11" t="s">
        <v>75</v>
      </c>
      <c r="D6" s="11" t="s">
        <v>76</v>
      </c>
      <c r="E6" s="11" t="s">
        <v>77</v>
      </c>
      <c r="F6" s="11" t="s">
        <v>78</v>
      </c>
      <c r="G6" s="11" t="s">
        <v>79</v>
      </c>
    </row>
    <row r="7" spans="1:7" ht="114.75" customHeight="1" x14ac:dyDescent="0.35">
      <c r="A7" s="11" t="s">
        <v>80</v>
      </c>
      <c r="B7" s="11" t="s">
        <v>81</v>
      </c>
      <c r="C7" s="11" t="s">
        <v>82</v>
      </c>
      <c r="D7" s="11" t="s">
        <v>83</v>
      </c>
      <c r="E7" s="11" t="s">
        <v>84</v>
      </c>
      <c r="F7" s="11" t="s">
        <v>85</v>
      </c>
      <c r="G7" s="11" t="s">
        <v>86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zoomScaleNormal="100" workbookViewId="0"/>
  </sheetViews>
  <sheetFormatPr defaultColWidth="8.6328125" defaultRowHeight="14.5" x14ac:dyDescent="0.35"/>
  <cols>
    <col min="1" max="1" width="8" customWidth="1"/>
    <col min="2" max="2" width="50" customWidth="1"/>
    <col min="3" max="3" width="38" customWidth="1"/>
    <col min="4" max="4" width="95" customWidth="1"/>
  </cols>
  <sheetData>
    <row r="1" spans="1:4" x14ac:dyDescent="0.35">
      <c r="A1" s="10" t="s">
        <v>38</v>
      </c>
      <c r="B1" s="10" t="s">
        <v>87</v>
      </c>
      <c r="C1" s="10" t="s">
        <v>88</v>
      </c>
      <c r="D1" s="10" t="s">
        <v>89</v>
      </c>
    </row>
    <row r="2" spans="1:4" ht="94.5" customHeight="1" x14ac:dyDescent="0.35">
      <c r="A2" s="11" t="s">
        <v>90</v>
      </c>
      <c r="B2" s="11" t="s">
        <v>91</v>
      </c>
      <c r="C2" s="11" t="s">
        <v>92</v>
      </c>
      <c r="D2" s="11" t="s">
        <v>93</v>
      </c>
    </row>
    <row r="3" spans="1:4" ht="94.5" customHeight="1" x14ac:dyDescent="0.35">
      <c r="A3" s="11" t="s">
        <v>94</v>
      </c>
      <c r="B3" s="11" t="s">
        <v>95</v>
      </c>
      <c r="C3" s="11" t="s">
        <v>96</v>
      </c>
      <c r="D3" s="11" t="s">
        <v>97</v>
      </c>
    </row>
    <row r="4" spans="1:4" ht="94.5" customHeight="1" x14ac:dyDescent="0.35">
      <c r="A4" s="11" t="s">
        <v>98</v>
      </c>
      <c r="B4" s="11" t="s">
        <v>99</v>
      </c>
      <c r="C4" s="11" t="s">
        <v>100</v>
      </c>
      <c r="D4" s="11" t="s">
        <v>101</v>
      </c>
    </row>
    <row r="5" spans="1:4" ht="94.5" customHeight="1" x14ac:dyDescent="0.35">
      <c r="A5" s="11" t="s">
        <v>102</v>
      </c>
      <c r="B5" s="11" t="s">
        <v>103</v>
      </c>
      <c r="C5" s="11" t="s">
        <v>104</v>
      </c>
      <c r="D5" s="11" t="s">
        <v>105</v>
      </c>
    </row>
    <row r="6" spans="1:4" ht="94.5" customHeight="1" x14ac:dyDescent="0.35">
      <c r="A6" s="11" t="s">
        <v>106</v>
      </c>
      <c r="B6" s="11" t="s">
        <v>107</v>
      </c>
      <c r="C6" s="11" t="s">
        <v>108</v>
      </c>
      <c r="D6" s="11" t="s">
        <v>109</v>
      </c>
    </row>
    <row r="7" spans="1:4" ht="94.5" customHeight="1" x14ac:dyDescent="0.35">
      <c r="A7" s="11" t="s">
        <v>110</v>
      </c>
      <c r="B7" s="11" t="s">
        <v>111</v>
      </c>
      <c r="C7" s="11" t="s">
        <v>112</v>
      </c>
      <c r="D7" s="11" t="s">
        <v>113</v>
      </c>
    </row>
    <row r="8" spans="1:4" ht="94.5" customHeight="1" x14ac:dyDescent="0.35">
      <c r="A8" s="11" t="s">
        <v>114</v>
      </c>
      <c r="B8" s="11" t="s">
        <v>115</v>
      </c>
      <c r="C8" s="11" t="s">
        <v>116</v>
      </c>
      <c r="D8" s="11" t="s">
        <v>117</v>
      </c>
    </row>
    <row r="9" spans="1:4" ht="94.5" customHeight="1" x14ac:dyDescent="0.35">
      <c r="A9" s="11" t="s">
        <v>118</v>
      </c>
      <c r="B9" s="11" t="s">
        <v>119</v>
      </c>
      <c r="C9" s="11" t="s">
        <v>120</v>
      </c>
      <c r="D9" s="11" t="s">
        <v>121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8"/>
  <sheetViews>
    <sheetView zoomScaleNormal="100" workbookViewId="0"/>
  </sheetViews>
  <sheetFormatPr defaultColWidth="8.6328125" defaultRowHeight="14.5" x14ac:dyDescent="0.35"/>
  <cols>
    <col min="1" max="1" width="38" customWidth="1"/>
    <col min="2" max="7" width="16" customWidth="1"/>
  </cols>
  <sheetData>
    <row r="1" spans="1:8" ht="18" x14ac:dyDescent="0.4">
      <c r="A1" s="3" t="s">
        <v>122</v>
      </c>
      <c r="B1" s="3"/>
      <c r="C1" s="3"/>
      <c r="D1" s="3"/>
      <c r="E1" s="3"/>
      <c r="F1" s="3"/>
      <c r="G1" s="3"/>
      <c r="H1" s="3"/>
    </row>
    <row r="2" spans="1:8" x14ac:dyDescent="0.35">
      <c r="A2" s="2" t="s">
        <v>123</v>
      </c>
      <c r="B2" s="2"/>
      <c r="C2" s="2"/>
      <c r="D2" s="2"/>
      <c r="E2" s="2"/>
      <c r="F2" s="2"/>
      <c r="G2" s="2"/>
      <c r="H2" s="2"/>
    </row>
    <row r="4" spans="1:8" ht="54.75" customHeight="1" x14ac:dyDescent="0.35">
      <c r="A4" s="10" t="s">
        <v>124</v>
      </c>
      <c r="B4" s="10" t="s">
        <v>125</v>
      </c>
      <c r="C4" s="10" t="s">
        <v>126</v>
      </c>
      <c r="D4" s="10" t="s">
        <v>127</v>
      </c>
      <c r="E4" s="10" t="s">
        <v>128</v>
      </c>
      <c r="F4" s="10" t="s">
        <v>129</v>
      </c>
      <c r="G4" s="10" t="s">
        <v>130</v>
      </c>
    </row>
    <row r="5" spans="1:8" ht="39.75" customHeight="1" x14ac:dyDescent="0.35">
      <c r="A5" s="12" t="s">
        <v>131</v>
      </c>
      <c r="B5" s="13" t="s">
        <v>132</v>
      </c>
      <c r="C5" s="13" t="s">
        <v>132</v>
      </c>
      <c r="D5" s="14"/>
      <c r="E5" s="13" t="s">
        <v>132</v>
      </c>
      <c r="F5" s="15" t="s">
        <v>133</v>
      </c>
      <c r="G5" s="13" t="s">
        <v>132</v>
      </c>
    </row>
    <row r="6" spans="1:8" ht="39.75" customHeight="1" x14ac:dyDescent="0.35">
      <c r="A6" s="12" t="s">
        <v>134</v>
      </c>
      <c r="B6" s="13" t="s">
        <v>132</v>
      </c>
      <c r="C6" s="13" t="s">
        <v>132</v>
      </c>
      <c r="D6" s="13" t="s">
        <v>132</v>
      </c>
      <c r="E6" s="15" t="s">
        <v>133</v>
      </c>
      <c r="F6" s="13" t="s">
        <v>132</v>
      </c>
      <c r="G6" s="14"/>
    </row>
    <row r="7" spans="1:8" ht="39.75" customHeight="1" x14ac:dyDescent="0.35">
      <c r="A7" s="12" t="s">
        <v>135</v>
      </c>
      <c r="B7" s="13" t="s">
        <v>132</v>
      </c>
      <c r="C7" s="13" t="s">
        <v>132</v>
      </c>
      <c r="D7" s="14"/>
      <c r="E7" s="14"/>
      <c r="F7" s="13" t="s">
        <v>132</v>
      </c>
      <c r="G7" s="15" t="s">
        <v>133</v>
      </c>
    </row>
    <row r="8" spans="1:8" ht="39.75" customHeight="1" x14ac:dyDescent="0.35">
      <c r="A8" s="12" t="s">
        <v>136</v>
      </c>
      <c r="B8" s="16" t="s">
        <v>137</v>
      </c>
      <c r="C8" s="17" t="s">
        <v>138</v>
      </c>
      <c r="D8" s="15" t="s">
        <v>133</v>
      </c>
      <c r="E8" s="14"/>
      <c r="F8" s="13" t="s">
        <v>132</v>
      </c>
      <c r="G8" s="14"/>
    </row>
    <row r="9" spans="1:8" ht="39.75" customHeight="1" x14ac:dyDescent="0.35">
      <c r="A9" s="12" t="s">
        <v>139</v>
      </c>
      <c r="B9" s="17" t="s">
        <v>138</v>
      </c>
      <c r="C9" s="14"/>
      <c r="D9" s="14"/>
      <c r="E9" s="13" t="s">
        <v>132</v>
      </c>
      <c r="F9" s="14"/>
      <c r="G9" s="13" t="s">
        <v>132</v>
      </c>
    </row>
    <row r="10" spans="1:8" ht="39.75" customHeight="1" x14ac:dyDescent="0.35">
      <c r="A10" s="12" t="s">
        <v>140</v>
      </c>
      <c r="B10" s="13" t="s">
        <v>132</v>
      </c>
      <c r="C10" s="13" t="s">
        <v>132</v>
      </c>
      <c r="D10" s="14"/>
      <c r="E10" s="15" t="s">
        <v>133</v>
      </c>
      <c r="F10" s="13" t="s">
        <v>132</v>
      </c>
      <c r="G10" s="13" t="s">
        <v>132</v>
      </c>
    </row>
    <row r="11" spans="1:8" ht="39.75" customHeight="1" x14ac:dyDescent="0.35">
      <c r="A11" s="12" t="s">
        <v>141</v>
      </c>
      <c r="B11" s="17" t="s">
        <v>138</v>
      </c>
      <c r="C11" s="17" t="s">
        <v>138</v>
      </c>
      <c r="D11" s="14"/>
      <c r="E11" s="17" t="s">
        <v>138</v>
      </c>
      <c r="F11" s="14"/>
      <c r="G11" s="14"/>
    </row>
    <row r="12" spans="1:8" ht="39.75" customHeight="1" x14ac:dyDescent="0.35">
      <c r="A12" s="12" t="s">
        <v>142</v>
      </c>
      <c r="B12" s="17" t="s">
        <v>138</v>
      </c>
      <c r="C12" s="13" t="s">
        <v>132</v>
      </c>
      <c r="D12" s="14"/>
      <c r="E12" s="15" t="s">
        <v>133</v>
      </c>
      <c r="F12" s="13" t="s">
        <v>132</v>
      </c>
      <c r="G12" s="13" t="s">
        <v>132</v>
      </c>
    </row>
    <row r="14" spans="1:8" x14ac:dyDescent="0.35">
      <c r="A14" s="18" t="s">
        <v>143</v>
      </c>
    </row>
    <row r="15" spans="1:8" ht="15" customHeight="1" x14ac:dyDescent="0.35">
      <c r="A15" s="19" t="s">
        <v>137</v>
      </c>
      <c r="B15" s="1" t="s">
        <v>144</v>
      </c>
      <c r="C15" s="1"/>
      <c r="D15" s="1"/>
      <c r="E15" s="1"/>
      <c r="F15" s="1"/>
      <c r="G15" s="1"/>
    </row>
    <row r="16" spans="1:8" ht="15" customHeight="1" x14ac:dyDescent="0.35">
      <c r="A16" s="20" t="s">
        <v>133</v>
      </c>
      <c r="B16" s="1" t="s">
        <v>145</v>
      </c>
      <c r="C16" s="1"/>
      <c r="D16" s="1"/>
      <c r="E16" s="1"/>
      <c r="F16" s="1"/>
      <c r="G16" s="1"/>
    </row>
    <row r="17" spans="1:7" ht="15" customHeight="1" x14ac:dyDescent="0.35">
      <c r="A17" s="21" t="s">
        <v>138</v>
      </c>
      <c r="B17" s="1" t="s">
        <v>146</v>
      </c>
      <c r="C17" s="1"/>
      <c r="D17" s="1"/>
      <c r="E17" s="1"/>
      <c r="F17" s="1"/>
      <c r="G17" s="1"/>
    </row>
    <row r="18" spans="1:7" ht="15" customHeight="1" x14ac:dyDescent="0.35">
      <c r="A18" s="22" t="s">
        <v>132</v>
      </c>
      <c r="B18" s="1" t="s">
        <v>147</v>
      </c>
      <c r="C18" s="1"/>
      <c r="D18" s="1"/>
      <c r="E18" s="1"/>
      <c r="F18" s="1"/>
      <c r="G18" s="1"/>
    </row>
  </sheetData>
  <mergeCells count="6">
    <mergeCell ref="B18:G18"/>
    <mergeCell ref="A1:H1"/>
    <mergeCell ref="A2:H2"/>
    <mergeCell ref="B15:G15"/>
    <mergeCell ref="B16:G16"/>
    <mergeCell ref="B17:G17"/>
  </mergeCell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5"/>
  <sheetViews>
    <sheetView zoomScaleNormal="100" workbookViewId="0">
      <pane ySplit="1" topLeftCell="A2" activePane="bottomLeft" state="frozen"/>
      <selection pane="bottomLeft"/>
    </sheetView>
  </sheetViews>
  <sheetFormatPr defaultColWidth="8.6328125" defaultRowHeight="14.5" x14ac:dyDescent="0.35"/>
  <cols>
    <col min="1" max="2" width="36" customWidth="1"/>
    <col min="3" max="3" width="12" customWidth="1"/>
    <col min="4" max="4" width="60" customWidth="1"/>
    <col min="5" max="5" width="50" customWidth="1"/>
    <col min="6" max="6" width="40" customWidth="1"/>
    <col min="7" max="7" width="35" customWidth="1"/>
  </cols>
  <sheetData>
    <row r="1" spans="1:7" x14ac:dyDescent="0.35">
      <c r="A1" s="10" t="s">
        <v>124</v>
      </c>
      <c r="B1" s="10" t="s">
        <v>148</v>
      </c>
      <c r="C1" s="10" t="s">
        <v>149</v>
      </c>
      <c r="D1" s="10" t="s">
        <v>150</v>
      </c>
      <c r="E1" s="10" t="s">
        <v>151</v>
      </c>
      <c r="F1" s="10" t="s">
        <v>152</v>
      </c>
      <c r="G1" s="10" t="s">
        <v>153</v>
      </c>
    </row>
    <row r="2" spans="1:7" ht="90" customHeight="1" x14ac:dyDescent="0.35">
      <c r="A2" s="11" t="s">
        <v>154</v>
      </c>
      <c r="B2" s="11" t="s">
        <v>155</v>
      </c>
      <c r="C2" s="22" t="s">
        <v>132</v>
      </c>
      <c r="D2" s="11" t="s">
        <v>156</v>
      </c>
      <c r="E2" s="11" t="s">
        <v>157</v>
      </c>
      <c r="F2" s="11" t="s">
        <v>158</v>
      </c>
      <c r="G2" s="11" t="s">
        <v>159</v>
      </c>
    </row>
    <row r="3" spans="1:7" ht="90" customHeight="1" x14ac:dyDescent="0.35">
      <c r="A3" s="11" t="s">
        <v>154</v>
      </c>
      <c r="B3" s="11" t="s">
        <v>160</v>
      </c>
      <c r="C3" s="22" t="s">
        <v>132</v>
      </c>
      <c r="D3" s="11" t="s">
        <v>161</v>
      </c>
      <c r="E3" s="11" t="s">
        <v>162</v>
      </c>
      <c r="F3" s="11" t="s">
        <v>163</v>
      </c>
      <c r="G3" s="11" t="s">
        <v>164</v>
      </c>
    </row>
    <row r="4" spans="1:7" ht="90" customHeight="1" x14ac:dyDescent="0.35">
      <c r="A4" s="11" t="s">
        <v>154</v>
      </c>
      <c r="B4" s="11" t="s">
        <v>165</v>
      </c>
      <c r="C4" s="22" t="s">
        <v>132</v>
      </c>
      <c r="D4" s="11" t="s">
        <v>166</v>
      </c>
      <c r="E4" s="11" t="s">
        <v>167</v>
      </c>
      <c r="F4" s="11" t="s">
        <v>168</v>
      </c>
      <c r="G4" s="11" t="s">
        <v>169</v>
      </c>
    </row>
    <row r="5" spans="1:7" ht="90" customHeight="1" x14ac:dyDescent="0.35">
      <c r="A5" s="11" t="s">
        <v>154</v>
      </c>
      <c r="B5" s="11" t="s">
        <v>170</v>
      </c>
      <c r="C5" s="20" t="s">
        <v>133</v>
      </c>
      <c r="D5" s="11" t="s">
        <v>171</v>
      </c>
      <c r="E5" s="11" t="s">
        <v>172</v>
      </c>
      <c r="F5" s="11" t="s">
        <v>173</v>
      </c>
      <c r="G5" s="11" t="s">
        <v>174</v>
      </c>
    </row>
    <row r="6" spans="1:7" ht="90" customHeight="1" x14ac:dyDescent="0.35">
      <c r="A6" s="11" t="s">
        <v>154</v>
      </c>
      <c r="B6" s="11" t="s">
        <v>175</v>
      </c>
      <c r="C6" s="22" t="s">
        <v>132</v>
      </c>
      <c r="D6" s="11" t="s">
        <v>176</v>
      </c>
      <c r="E6" s="11" t="s">
        <v>177</v>
      </c>
      <c r="F6" s="11" t="s">
        <v>178</v>
      </c>
      <c r="G6" s="11" t="s">
        <v>164</v>
      </c>
    </row>
    <row r="7" spans="1:7" ht="90" customHeight="1" x14ac:dyDescent="0.35">
      <c r="A7" s="11" t="s">
        <v>179</v>
      </c>
      <c r="B7" s="11" t="s">
        <v>155</v>
      </c>
      <c r="C7" s="22" t="s">
        <v>132</v>
      </c>
      <c r="D7" s="11" t="s">
        <v>180</v>
      </c>
      <c r="E7" s="11" t="s">
        <v>181</v>
      </c>
      <c r="F7" s="11" t="s">
        <v>182</v>
      </c>
      <c r="G7" s="11" t="s">
        <v>183</v>
      </c>
    </row>
    <row r="8" spans="1:7" ht="90" customHeight="1" x14ac:dyDescent="0.35">
      <c r="A8" s="11" t="s">
        <v>179</v>
      </c>
      <c r="B8" s="11" t="s">
        <v>160</v>
      </c>
      <c r="C8" s="22" t="s">
        <v>132</v>
      </c>
      <c r="D8" s="11" t="s">
        <v>184</v>
      </c>
      <c r="E8" s="11" t="s">
        <v>185</v>
      </c>
      <c r="F8" s="11" t="s">
        <v>186</v>
      </c>
      <c r="G8" s="11" t="s">
        <v>164</v>
      </c>
    </row>
    <row r="9" spans="1:7" ht="90" customHeight="1" x14ac:dyDescent="0.35">
      <c r="A9" s="11" t="s">
        <v>179</v>
      </c>
      <c r="B9" s="11" t="s">
        <v>187</v>
      </c>
      <c r="C9" s="22" t="s">
        <v>132</v>
      </c>
      <c r="D9" s="11" t="s">
        <v>188</v>
      </c>
      <c r="E9" s="11" t="s">
        <v>189</v>
      </c>
      <c r="F9" s="11" t="s">
        <v>190</v>
      </c>
      <c r="G9" s="11" t="s">
        <v>191</v>
      </c>
    </row>
    <row r="10" spans="1:7" ht="90" customHeight="1" x14ac:dyDescent="0.35">
      <c r="A10" s="11" t="s">
        <v>179</v>
      </c>
      <c r="B10" s="11" t="s">
        <v>165</v>
      </c>
      <c r="C10" s="20" t="s">
        <v>133</v>
      </c>
      <c r="D10" s="11" t="s">
        <v>192</v>
      </c>
      <c r="E10" s="11" t="s">
        <v>193</v>
      </c>
      <c r="F10" s="11" t="s">
        <v>194</v>
      </c>
      <c r="G10" s="11" t="s">
        <v>195</v>
      </c>
    </row>
    <row r="11" spans="1:7" ht="90" customHeight="1" x14ac:dyDescent="0.35">
      <c r="A11" s="11" t="s">
        <v>179</v>
      </c>
      <c r="B11" s="11" t="s">
        <v>170</v>
      </c>
      <c r="C11" s="22" t="s">
        <v>132</v>
      </c>
      <c r="D11" s="11" t="s">
        <v>196</v>
      </c>
      <c r="E11" s="11" t="s">
        <v>197</v>
      </c>
      <c r="F11" s="11" t="s">
        <v>198</v>
      </c>
      <c r="G11" s="11" t="s">
        <v>164</v>
      </c>
    </row>
    <row r="12" spans="1:7" ht="90" customHeight="1" x14ac:dyDescent="0.35">
      <c r="A12" s="11" t="s">
        <v>199</v>
      </c>
      <c r="B12" s="11" t="s">
        <v>155</v>
      </c>
      <c r="C12" s="22" t="s">
        <v>132</v>
      </c>
      <c r="D12" s="11" t="s">
        <v>200</v>
      </c>
      <c r="E12" s="11" t="s">
        <v>201</v>
      </c>
      <c r="F12" s="11" t="s">
        <v>202</v>
      </c>
      <c r="G12" s="11" t="s">
        <v>203</v>
      </c>
    </row>
    <row r="13" spans="1:7" ht="90" customHeight="1" x14ac:dyDescent="0.35">
      <c r="A13" s="11" t="s">
        <v>199</v>
      </c>
      <c r="B13" s="11" t="s">
        <v>160</v>
      </c>
      <c r="C13" s="22" t="s">
        <v>132</v>
      </c>
      <c r="D13" s="11" t="s">
        <v>204</v>
      </c>
      <c r="E13" s="11" t="s">
        <v>205</v>
      </c>
      <c r="F13" s="11" t="s">
        <v>206</v>
      </c>
      <c r="G13" s="11" t="s">
        <v>207</v>
      </c>
    </row>
    <row r="14" spans="1:7" ht="90" customHeight="1" x14ac:dyDescent="0.35">
      <c r="A14" s="11" t="s">
        <v>199</v>
      </c>
      <c r="B14" s="11" t="s">
        <v>170</v>
      </c>
      <c r="C14" s="22" t="s">
        <v>132</v>
      </c>
      <c r="D14" s="11" t="s">
        <v>208</v>
      </c>
      <c r="E14" s="11" t="s">
        <v>209</v>
      </c>
      <c r="F14" s="11" t="s">
        <v>210</v>
      </c>
      <c r="G14" s="11" t="s">
        <v>207</v>
      </c>
    </row>
    <row r="15" spans="1:7" ht="90" customHeight="1" x14ac:dyDescent="0.35">
      <c r="A15" s="11" t="s">
        <v>199</v>
      </c>
      <c r="B15" s="11" t="s">
        <v>175</v>
      </c>
      <c r="C15" s="20" t="s">
        <v>133</v>
      </c>
      <c r="D15" s="11" t="s">
        <v>211</v>
      </c>
      <c r="E15" s="11" t="s">
        <v>212</v>
      </c>
      <c r="F15" s="11" t="s">
        <v>213</v>
      </c>
      <c r="G15" s="11" t="s">
        <v>214</v>
      </c>
    </row>
    <row r="16" spans="1:7" ht="90" customHeight="1" x14ac:dyDescent="0.35">
      <c r="A16" s="11" t="s">
        <v>215</v>
      </c>
      <c r="B16" s="11" t="s">
        <v>155</v>
      </c>
      <c r="C16" s="19" t="s">
        <v>137</v>
      </c>
      <c r="D16" s="11" t="s">
        <v>216</v>
      </c>
      <c r="E16" s="11" t="s">
        <v>217</v>
      </c>
      <c r="F16" s="11" t="s">
        <v>218</v>
      </c>
      <c r="G16" s="11" t="s">
        <v>219</v>
      </c>
    </row>
    <row r="17" spans="1:7" ht="90" customHeight="1" x14ac:dyDescent="0.35">
      <c r="A17" s="11" t="s">
        <v>215</v>
      </c>
      <c r="B17" s="11" t="s">
        <v>160</v>
      </c>
      <c r="C17" s="21" t="s">
        <v>138</v>
      </c>
      <c r="D17" s="11" t="s">
        <v>220</v>
      </c>
      <c r="E17" s="11" t="s">
        <v>221</v>
      </c>
      <c r="F17" s="11" t="s">
        <v>222</v>
      </c>
      <c r="G17" s="11" t="s">
        <v>223</v>
      </c>
    </row>
    <row r="18" spans="1:7" ht="90" customHeight="1" x14ac:dyDescent="0.35">
      <c r="A18" s="11" t="s">
        <v>215</v>
      </c>
      <c r="B18" s="11" t="s">
        <v>187</v>
      </c>
      <c r="C18" s="20" t="s">
        <v>133</v>
      </c>
      <c r="D18" s="11" t="s">
        <v>224</v>
      </c>
      <c r="E18" s="11" t="s">
        <v>225</v>
      </c>
      <c r="F18" s="11" t="s">
        <v>226</v>
      </c>
      <c r="G18" s="11" t="s">
        <v>227</v>
      </c>
    </row>
    <row r="19" spans="1:7" ht="90" customHeight="1" x14ac:dyDescent="0.35">
      <c r="A19" s="11" t="s">
        <v>215</v>
      </c>
      <c r="B19" s="11" t="s">
        <v>170</v>
      </c>
      <c r="C19" s="22" t="s">
        <v>132</v>
      </c>
      <c r="D19" s="11" t="s">
        <v>228</v>
      </c>
      <c r="E19" s="11" t="s">
        <v>229</v>
      </c>
      <c r="F19" s="11" t="s">
        <v>230</v>
      </c>
      <c r="G19" s="11" t="s">
        <v>164</v>
      </c>
    </row>
    <row r="20" spans="1:7" ht="90" customHeight="1" x14ac:dyDescent="0.35">
      <c r="A20" s="11" t="s">
        <v>231</v>
      </c>
      <c r="B20" s="11" t="s">
        <v>155</v>
      </c>
      <c r="C20" s="21" t="s">
        <v>138</v>
      </c>
      <c r="D20" s="11" t="s">
        <v>232</v>
      </c>
      <c r="E20" s="11" t="s">
        <v>233</v>
      </c>
      <c r="F20" s="11" t="s">
        <v>234</v>
      </c>
      <c r="G20" s="11" t="s">
        <v>235</v>
      </c>
    </row>
    <row r="21" spans="1:7" ht="90" customHeight="1" x14ac:dyDescent="0.35">
      <c r="A21" s="11" t="s">
        <v>231</v>
      </c>
      <c r="B21" s="11" t="s">
        <v>165</v>
      </c>
      <c r="C21" s="22" t="s">
        <v>132</v>
      </c>
      <c r="D21" s="11" t="s">
        <v>236</v>
      </c>
      <c r="E21" s="11" t="s">
        <v>237</v>
      </c>
      <c r="F21" s="11" t="s">
        <v>238</v>
      </c>
      <c r="G21" s="11" t="s">
        <v>239</v>
      </c>
    </row>
    <row r="22" spans="1:7" ht="90" customHeight="1" x14ac:dyDescent="0.35">
      <c r="A22" s="11" t="s">
        <v>231</v>
      </c>
      <c r="B22" s="11" t="s">
        <v>175</v>
      </c>
      <c r="C22" s="22" t="s">
        <v>132</v>
      </c>
      <c r="D22" s="11" t="s">
        <v>240</v>
      </c>
      <c r="E22" s="11" t="s">
        <v>241</v>
      </c>
      <c r="F22" s="11" t="s">
        <v>242</v>
      </c>
      <c r="G22" s="11" t="s">
        <v>243</v>
      </c>
    </row>
    <row r="23" spans="1:7" ht="90" customHeight="1" x14ac:dyDescent="0.35">
      <c r="A23" s="11" t="s">
        <v>244</v>
      </c>
      <c r="B23" s="11" t="s">
        <v>155</v>
      </c>
      <c r="C23" s="22" t="s">
        <v>132</v>
      </c>
      <c r="D23" s="11" t="s">
        <v>245</v>
      </c>
      <c r="E23" s="11" t="s">
        <v>246</v>
      </c>
      <c r="F23" s="11" t="s">
        <v>234</v>
      </c>
      <c r="G23" s="11" t="s">
        <v>164</v>
      </c>
    </row>
    <row r="24" spans="1:7" ht="90" customHeight="1" x14ac:dyDescent="0.35">
      <c r="A24" s="11" t="s">
        <v>244</v>
      </c>
      <c r="B24" s="11" t="s">
        <v>160</v>
      </c>
      <c r="C24" s="22" t="s">
        <v>132</v>
      </c>
      <c r="D24" s="11" t="s">
        <v>247</v>
      </c>
      <c r="E24" s="11" t="s">
        <v>248</v>
      </c>
      <c r="F24" s="11" t="s">
        <v>206</v>
      </c>
      <c r="G24" s="11" t="s">
        <v>207</v>
      </c>
    </row>
    <row r="25" spans="1:7" ht="90" customHeight="1" x14ac:dyDescent="0.35">
      <c r="A25" s="11" t="s">
        <v>244</v>
      </c>
      <c r="B25" s="11" t="s">
        <v>165</v>
      </c>
      <c r="C25" s="20" t="s">
        <v>133</v>
      </c>
      <c r="D25" s="11" t="s">
        <v>249</v>
      </c>
      <c r="E25" s="11" t="s">
        <v>250</v>
      </c>
      <c r="F25" s="11" t="s">
        <v>251</v>
      </c>
      <c r="G25" s="11" t="s">
        <v>227</v>
      </c>
    </row>
    <row r="26" spans="1:7" ht="90" customHeight="1" x14ac:dyDescent="0.35">
      <c r="A26" s="11" t="s">
        <v>244</v>
      </c>
      <c r="B26" s="11" t="s">
        <v>170</v>
      </c>
      <c r="C26" s="22" t="s">
        <v>132</v>
      </c>
      <c r="D26" s="11" t="s">
        <v>252</v>
      </c>
      <c r="E26" s="11" t="s">
        <v>253</v>
      </c>
      <c r="F26" s="11" t="s">
        <v>254</v>
      </c>
      <c r="G26" s="11" t="s">
        <v>207</v>
      </c>
    </row>
    <row r="27" spans="1:7" ht="90" customHeight="1" x14ac:dyDescent="0.35">
      <c r="A27" s="11" t="s">
        <v>244</v>
      </c>
      <c r="B27" s="11" t="s">
        <v>175</v>
      </c>
      <c r="C27" s="22" t="s">
        <v>132</v>
      </c>
      <c r="D27" s="11" t="s">
        <v>255</v>
      </c>
      <c r="E27" s="11" t="s">
        <v>256</v>
      </c>
      <c r="F27" s="11" t="s">
        <v>257</v>
      </c>
      <c r="G27" s="11" t="s">
        <v>207</v>
      </c>
    </row>
    <row r="28" spans="1:7" ht="90" customHeight="1" x14ac:dyDescent="0.35">
      <c r="A28" s="11" t="s">
        <v>258</v>
      </c>
      <c r="B28" s="11" t="s">
        <v>155</v>
      </c>
      <c r="C28" s="21" t="s">
        <v>138</v>
      </c>
      <c r="D28" s="11" t="s">
        <v>259</v>
      </c>
      <c r="E28" s="11" t="s">
        <v>260</v>
      </c>
      <c r="F28" s="11" t="s">
        <v>261</v>
      </c>
      <c r="G28" s="11" t="s">
        <v>262</v>
      </c>
    </row>
    <row r="29" spans="1:7" ht="90" customHeight="1" x14ac:dyDescent="0.35">
      <c r="A29" s="11" t="s">
        <v>258</v>
      </c>
      <c r="B29" s="11" t="s">
        <v>160</v>
      </c>
      <c r="C29" s="21" t="s">
        <v>138</v>
      </c>
      <c r="D29" s="11" t="s">
        <v>263</v>
      </c>
      <c r="E29" s="11" t="s">
        <v>264</v>
      </c>
      <c r="F29" s="11" t="s">
        <v>265</v>
      </c>
      <c r="G29" s="11" t="s">
        <v>164</v>
      </c>
    </row>
    <row r="30" spans="1:7" ht="90" customHeight="1" x14ac:dyDescent="0.35">
      <c r="A30" s="11" t="s">
        <v>258</v>
      </c>
      <c r="B30" s="11" t="s">
        <v>165</v>
      </c>
      <c r="C30" s="21" t="s">
        <v>138</v>
      </c>
      <c r="D30" s="11" t="s">
        <v>266</v>
      </c>
      <c r="E30" s="11" t="s">
        <v>267</v>
      </c>
      <c r="F30" s="11" t="s">
        <v>268</v>
      </c>
      <c r="G30" s="11" t="s">
        <v>269</v>
      </c>
    </row>
    <row r="31" spans="1:7" ht="90" customHeight="1" x14ac:dyDescent="0.35">
      <c r="A31" s="11" t="s">
        <v>270</v>
      </c>
      <c r="B31" s="11" t="s">
        <v>155</v>
      </c>
      <c r="C31" s="21" t="s">
        <v>138</v>
      </c>
      <c r="D31" s="11" t="s">
        <v>271</v>
      </c>
      <c r="E31" s="11" t="s">
        <v>272</v>
      </c>
      <c r="F31" s="11" t="s">
        <v>273</v>
      </c>
      <c r="G31" s="11" t="s">
        <v>274</v>
      </c>
    </row>
    <row r="32" spans="1:7" ht="90" customHeight="1" x14ac:dyDescent="0.35">
      <c r="A32" s="11" t="s">
        <v>270</v>
      </c>
      <c r="B32" s="11" t="s">
        <v>160</v>
      </c>
      <c r="C32" s="22" t="s">
        <v>132</v>
      </c>
      <c r="D32" s="11" t="s">
        <v>275</v>
      </c>
      <c r="E32" s="11" t="s">
        <v>276</v>
      </c>
      <c r="F32" s="11" t="s">
        <v>277</v>
      </c>
      <c r="G32" s="11" t="s">
        <v>278</v>
      </c>
    </row>
    <row r="33" spans="1:7" ht="90" customHeight="1" x14ac:dyDescent="0.35">
      <c r="A33" s="11" t="s">
        <v>270</v>
      </c>
      <c r="B33" s="11" t="s">
        <v>165</v>
      </c>
      <c r="C33" s="20" t="s">
        <v>133</v>
      </c>
      <c r="D33" s="11" t="s">
        <v>279</v>
      </c>
      <c r="E33" s="11" t="s">
        <v>280</v>
      </c>
      <c r="F33" s="11" t="s">
        <v>238</v>
      </c>
      <c r="G33" s="11" t="s">
        <v>281</v>
      </c>
    </row>
    <row r="34" spans="1:7" ht="90" customHeight="1" x14ac:dyDescent="0.35">
      <c r="A34" s="11" t="s">
        <v>270</v>
      </c>
      <c r="B34" s="11" t="s">
        <v>170</v>
      </c>
      <c r="C34" s="22" t="s">
        <v>132</v>
      </c>
      <c r="D34" s="11" t="s">
        <v>282</v>
      </c>
      <c r="E34" s="11" t="s">
        <v>283</v>
      </c>
      <c r="F34" s="11" t="s">
        <v>284</v>
      </c>
      <c r="G34" s="11" t="s">
        <v>243</v>
      </c>
    </row>
    <row r="35" spans="1:7" ht="90" customHeight="1" x14ac:dyDescent="0.35">
      <c r="A35" s="11" t="s">
        <v>270</v>
      </c>
      <c r="B35" s="11" t="s">
        <v>175</v>
      </c>
      <c r="C35" s="22" t="s">
        <v>132</v>
      </c>
      <c r="D35" s="11" t="s">
        <v>285</v>
      </c>
      <c r="E35" s="11" t="s">
        <v>286</v>
      </c>
      <c r="F35" s="11" t="s">
        <v>287</v>
      </c>
      <c r="G35" s="11" t="s">
        <v>288</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
  <sheetViews>
    <sheetView tabSelected="1" zoomScaleNormal="100" workbookViewId="0"/>
  </sheetViews>
  <sheetFormatPr defaultColWidth="8.6328125" defaultRowHeight="14.5" x14ac:dyDescent="0.35"/>
  <cols>
    <col min="1" max="1" width="40" customWidth="1"/>
    <col min="2" max="5" width="10" customWidth="1"/>
    <col min="6" max="7" width="14" customWidth="1"/>
    <col min="8" max="8" width="12" customWidth="1"/>
  </cols>
  <sheetData>
    <row r="1" spans="1:8" x14ac:dyDescent="0.35">
      <c r="A1" s="10" t="s">
        <v>124</v>
      </c>
      <c r="B1" s="10" t="s">
        <v>137</v>
      </c>
      <c r="C1" s="10" t="s">
        <v>133</v>
      </c>
      <c r="D1" s="10" t="s">
        <v>138</v>
      </c>
      <c r="E1" s="10" t="s">
        <v>132</v>
      </c>
      <c r="F1" s="10" t="s">
        <v>289</v>
      </c>
      <c r="G1" s="10" t="s">
        <v>290</v>
      </c>
      <c r="H1" s="10" t="s">
        <v>291</v>
      </c>
    </row>
    <row r="2" spans="1:8" ht="30" customHeight="1" x14ac:dyDescent="0.35">
      <c r="A2" s="11" t="s">
        <v>154</v>
      </c>
      <c r="B2" s="23">
        <f>COUNTIF('Layer 1 Matrix'!B5:G5,"CONV")</f>
        <v>0</v>
      </c>
      <c r="C2" s="23">
        <f>COUNTIF('Layer 1 Matrix'!B5:G5,"COMP")</f>
        <v>1</v>
      </c>
      <c r="D2" s="23">
        <f>COUNTIF('Layer 1 Matrix'!B5:G5,"EXPN")</f>
        <v>0</v>
      </c>
      <c r="E2" s="23">
        <f>COUNTIF('Layer 1 Matrix'!B5:G5,"EXPL")</f>
        <v>4</v>
      </c>
      <c r="F2" s="23">
        <f t="shared" ref="F2:F9" si="0">SUM(B2:E2)</f>
        <v>5</v>
      </c>
      <c r="G2" s="23">
        <v>6</v>
      </c>
      <c r="H2" s="24">
        <f t="shared" ref="H2:H10" si="1">F2/G2</f>
        <v>0.83333333333333337</v>
      </c>
    </row>
    <row r="3" spans="1:8" ht="30" customHeight="1" x14ac:dyDescent="0.35">
      <c r="A3" s="11" t="s">
        <v>179</v>
      </c>
      <c r="B3" s="23">
        <f>COUNTIF('Layer 1 Matrix'!B6:G6,"CONV")</f>
        <v>0</v>
      </c>
      <c r="C3" s="23">
        <f>COUNTIF('Layer 1 Matrix'!B6:G6,"COMP")</f>
        <v>1</v>
      </c>
      <c r="D3" s="23">
        <f>COUNTIF('Layer 1 Matrix'!B6:G6,"EXPN")</f>
        <v>0</v>
      </c>
      <c r="E3" s="23">
        <f>COUNTIF('Layer 1 Matrix'!B6:G6,"EXPL")</f>
        <v>4</v>
      </c>
      <c r="F3" s="23">
        <f t="shared" si="0"/>
        <v>5</v>
      </c>
      <c r="G3" s="23">
        <v>6</v>
      </c>
      <c r="H3" s="24">
        <f t="shared" si="1"/>
        <v>0.83333333333333337</v>
      </c>
    </row>
    <row r="4" spans="1:8" ht="30" customHeight="1" x14ac:dyDescent="0.35">
      <c r="A4" s="11" t="s">
        <v>199</v>
      </c>
      <c r="B4" s="23">
        <f>COUNTIF('Layer 1 Matrix'!B7:G7,"CONV")</f>
        <v>0</v>
      </c>
      <c r="C4" s="23">
        <f>COUNTIF('Layer 1 Matrix'!B7:G7,"COMP")</f>
        <v>1</v>
      </c>
      <c r="D4" s="23">
        <f>COUNTIF('Layer 1 Matrix'!B7:G7,"EXPN")</f>
        <v>0</v>
      </c>
      <c r="E4" s="23">
        <f>COUNTIF('Layer 1 Matrix'!B7:G7,"EXPL")</f>
        <v>3</v>
      </c>
      <c r="F4" s="23">
        <f t="shared" si="0"/>
        <v>4</v>
      </c>
      <c r="G4" s="23">
        <v>6</v>
      </c>
      <c r="H4" s="24">
        <f t="shared" si="1"/>
        <v>0.66666666666666663</v>
      </c>
    </row>
    <row r="5" spans="1:8" ht="30" customHeight="1" x14ac:dyDescent="0.35">
      <c r="A5" s="11" t="s">
        <v>215</v>
      </c>
      <c r="B5" s="23">
        <f>COUNTIF('Layer 1 Matrix'!B8:G8,"CONV")</f>
        <v>1</v>
      </c>
      <c r="C5" s="23">
        <f>COUNTIF('Layer 1 Matrix'!B8:G8,"COMP")</f>
        <v>1</v>
      </c>
      <c r="D5" s="23">
        <f>COUNTIF('Layer 1 Matrix'!B8:G8,"EXPN")</f>
        <v>1</v>
      </c>
      <c r="E5" s="23">
        <f>COUNTIF('Layer 1 Matrix'!B8:G8,"EXPL")</f>
        <v>1</v>
      </c>
      <c r="F5" s="23">
        <f t="shared" si="0"/>
        <v>4</v>
      </c>
      <c r="G5" s="23">
        <v>6</v>
      </c>
      <c r="H5" s="24">
        <f t="shared" si="1"/>
        <v>0.66666666666666663</v>
      </c>
    </row>
    <row r="6" spans="1:8" ht="30" customHeight="1" x14ac:dyDescent="0.35">
      <c r="A6" s="11" t="s">
        <v>231</v>
      </c>
      <c r="B6" s="23">
        <f>COUNTIF('Layer 1 Matrix'!B9:G9,"CONV")</f>
        <v>0</v>
      </c>
      <c r="C6" s="23">
        <f>COUNTIF('Layer 1 Matrix'!B9:G9,"COMP")</f>
        <v>0</v>
      </c>
      <c r="D6" s="23">
        <f>COUNTIF('Layer 1 Matrix'!B9:G9,"EXPN")</f>
        <v>1</v>
      </c>
      <c r="E6" s="23">
        <f>COUNTIF('Layer 1 Matrix'!B9:G9,"EXPL")</f>
        <v>2</v>
      </c>
      <c r="F6" s="23">
        <f t="shared" si="0"/>
        <v>3</v>
      </c>
      <c r="G6" s="23">
        <v>6</v>
      </c>
      <c r="H6" s="24">
        <f t="shared" si="1"/>
        <v>0.5</v>
      </c>
    </row>
    <row r="7" spans="1:8" ht="30" customHeight="1" x14ac:dyDescent="0.35">
      <c r="A7" s="11" t="s">
        <v>244</v>
      </c>
      <c r="B7" s="23">
        <f>COUNTIF('Layer 1 Matrix'!B10:G10,"CONV")</f>
        <v>0</v>
      </c>
      <c r="C7" s="23">
        <f>COUNTIF('Layer 1 Matrix'!B10:G10,"COMP")</f>
        <v>1</v>
      </c>
      <c r="D7" s="23">
        <f>COUNTIF('Layer 1 Matrix'!B10:G10,"EXPN")</f>
        <v>0</v>
      </c>
      <c r="E7" s="23">
        <f>COUNTIF('Layer 1 Matrix'!B10:G10,"EXPL")</f>
        <v>4</v>
      </c>
      <c r="F7" s="23">
        <f t="shared" si="0"/>
        <v>5</v>
      </c>
      <c r="G7" s="23">
        <v>6</v>
      </c>
      <c r="H7" s="24">
        <f t="shared" si="1"/>
        <v>0.83333333333333337</v>
      </c>
    </row>
    <row r="8" spans="1:8" ht="30" customHeight="1" x14ac:dyDescent="0.35">
      <c r="A8" s="11" t="s">
        <v>258</v>
      </c>
      <c r="B8" s="23">
        <f>COUNTIF('Layer 1 Matrix'!B11:G11,"CONV")</f>
        <v>0</v>
      </c>
      <c r="C8" s="23">
        <f>COUNTIF('Layer 1 Matrix'!B11:G11,"COMP")</f>
        <v>0</v>
      </c>
      <c r="D8" s="23">
        <f>COUNTIF('Layer 1 Matrix'!B11:G11,"EXPN")</f>
        <v>3</v>
      </c>
      <c r="E8" s="23">
        <f>COUNTIF('Layer 1 Matrix'!B11:G11,"EXPL")</f>
        <v>0</v>
      </c>
      <c r="F8" s="23">
        <f t="shared" si="0"/>
        <v>3</v>
      </c>
      <c r="G8" s="23">
        <v>6</v>
      </c>
      <c r="H8" s="24">
        <f t="shared" si="1"/>
        <v>0.5</v>
      </c>
    </row>
    <row r="9" spans="1:8" ht="30" customHeight="1" x14ac:dyDescent="0.35">
      <c r="A9" s="11" t="s">
        <v>270</v>
      </c>
      <c r="B9" s="23">
        <f>COUNTIF('Layer 1 Matrix'!B12:G12,"CONV")</f>
        <v>0</v>
      </c>
      <c r="C9" s="23">
        <f>COUNTIF('Layer 1 Matrix'!B12:G12,"COMP")</f>
        <v>1</v>
      </c>
      <c r="D9" s="23">
        <f>COUNTIF('Layer 1 Matrix'!B12:G12,"EXPN")</f>
        <v>1</v>
      </c>
      <c r="E9" s="23">
        <f>COUNTIF('Layer 1 Matrix'!B12:G12,"EXPL")</f>
        <v>3</v>
      </c>
      <c r="F9" s="23">
        <f t="shared" si="0"/>
        <v>5</v>
      </c>
      <c r="G9" s="23">
        <v>6</v>
      </c>
      <c r="H9" s="24">
        <f t="shared" si="1"/>
        <v>0.83333333333333337</v>
      </c>
    </row>
    <row r="10" spans="1:8" ht="30" customHeight="1" x14ac:dyDescent="0.35">
      <c r="A10" s="25" t="s">
        <v>292</v>
      </c>
      <c r="B10" s="26">
        <f t="shared" ref="B10:G10" si="2">SUM(B2:B9)</f>
        <v>1</v>
      </c>
      <c r="C10" s="26">
        <f t="shared" si="2"/>
        <v>6</v>
      </c>
      <c r="D10" s="26">
        <f t="shared" si="2"/>
        <v>6</v>
      </c>
      <c r="E10" s="26">
        <f t="shared" si="2"/>
        <v>21</v>
      </c>
      <c r="F10" s="26">
        <f t="shared" si="2"/>
        <v>34</v>
      </c>
      <c r="G10" s="26">
        <f t="shared" si="2"/>
        <v>48</v>
      </c>
      <c r="H10" s="27">
        <f t="shared" si="1"/>
        <v>0.70833333333333337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Gap Patterns</vt:lpstr>
      <vt:lpstr>Phase 2 Themes</vt:lpstr>
      <vt:lpstr>Layer 1 Matrix</vt:lpstr>
      <vt:lpstr>Layer 2 Evidence</vt:lpstr>
      <vt:lpstr>Criterion 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Rambel-Stone, Milinda</cp:lastModifiedBy>
  <cp:revision>0</cp:revision>
  <dcterms:created xsi:type="dcterms:W3CDTF">2026-04-24T21:22:48Z</dcterms:created>
  <dcterms:modified xsi:type="dcterms:W3CDTF">2026-04-24T21:38:40Z</dcterms:modified>
  <dc:language>en-US</dc:language>
</cp:coreProperties>
</file>