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alcChain.xml" ContentType="application/vnd.openxmlformats-officedocument.spreadsheetml.calcChai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3"/>
  <workbookPr/>
  <mc:AlternateContent xmlns:mc="http://schemas.openxmlformats.org/markup-compatibility/2006">
    <mc:Choice Requires="x15">
      <x15ac:absPath xmlns:x15ac="http://schemas.microsoft.com/office/spreadsheetml/2010/11/ac" url="https://dakotastateuniversity-my.sharepoint.com/personal/milinda_rambel-stone_trojans_dsu_edu/Documents/Courses/CSC 808 Mixed Methods Research/Research 808/"/>
    </mc:Choice>
  </mc:AlternateContent>
  <xr:revisionPtr revIDLastSave="0" documentId="8_{0E37FCB0-DBC9-4499-BD06-FDCE4DF51386}" xr6:coauthVersionLast="47" xr6:coauthVersionMax="47" xr10:uidLastSave="{00000000-0000-0000-0000-000000000000}"/>
  <bookViews>
    <workbookView xWindow="-110" yWindow="-110" windowWidth="19420" windowHeight="11500" tabRatio="500" xr2:uid="{00000000-000D-0000-FFFF-FFFF00000000}"/>
  </bookViews>
  <sheets>
    <sheet name="README" sheetId="1" r:id="rId1"/>
    <sheet name="Entropy Weight Derivation" sheetId="2" r:id="rId2"/>
    <sheet name="Scores All Documents" sheetId="3" r:id="rId3"/>
    <sheet name="Distribution Comparison" sheetId="4" r:id="rId4"/>
    <sheet name="Gap Pattern Robustness" sheetId="5" r:id="rId5"/>
    <sheet name="Org Differentials" sheetId="6" r:id="rId6"/>
    <sheet name="CFTT Paradox Under Rules" sheetId="7" r:id="rId7"/>
  </sheets>
  <calcPr calcId="191028" iterateDelta="1E-4"/>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loext="http://schemas.libreoffice.org/" uri="{7626C862-2A13-11E5-B345-FEFF819CDC9F}">
      <loext:extCalcPr stringRefSyntax="ExcelA1"/>
    </ext>
  </extLst>
</workbook>
</file>

<file path=xl/calcChain.xml><?xml version="1.0" encoding="utf-8"?>
<calcChain xmlns="http://schemas.openxmlformats.org/spreadsheetml/2006/main">
  <c r="I21" i="7" l="1"/>
  <c r="H21" i="7"/>
  <c r="G21" i="7"/>
  <c r="F21" i="7"/>
  <c r="E21" i="7"/>
  <c r="D21" i="7"/>
  <c r="C21" i="7"/>
  <c r="F12" i="4"/>
  <c r="D12" i="4"/>
  <c r="B12" i="4"/>
  <c r="G11" i="4"/>
  <c r="E11" i="4"/>
  <c r="C11" i="4"/>
  <c r="G10" i="4"/>
  <c r="E10" i="4"/>
  <c r="C10" i="4"/>
  <c r="G9" i="4"/>
  <c r="E9" i="4"/>
  <c r="C9" i="4"/>
  <c r="G8" i="4"/>
  <c r="E8" i="4"/>
  <c r="C8" i="4"/>
  <c r="G7" i="4"/>
  <c r="E7" i="4"/>
  <c r="C7" i="4"/>
  <c r="G6" i="4"/>
  <c r="E6" i="4"/>
  <c r="C6" i="4"/>
  <c r="G5" i="4"/>
  <c r="E5" i="4"/>
  <c r="C5" i="4"/>
  <c r="G4" i="4"/>
  <c r="G12" i="4" s="1"/>
  <c r="E4" i="4"/>
  <c r="E12" i="4" s="1"/>
  <c r="C4" i="4"/>
  <c r="C12" i="4" s="1"/>
  <c r="I85" i="3"/>
  <c r="H85" i="3"/>
  <c r="G85" i="3"/>
  <c r="F85" i="3"/>
  <c r="I84" i="3"/>
  <c r="H84" i="3"/>
  <c r="G84" i="3"/>
  <c r="F84" i="3"/>
  <c r="I83" i="3"/>
  <c r="H83" i="3"/>
  <c r="G83" i="3"/>
  <c r="F83" i="3"/>
  <c r="I82" i="3"/>
  <c r="H82" i="3"/>
  <c r="G82" i="3"/>
  <c r="F82" i="3"/>
  <c r="N79" i="3"/>
  <c r="M79" i="3"/>
  <c r="L79" i="3"/>
  <c r="K79" i="3"/>
  <c r="J79" i="3"/>
  <c r="L78" i="3"/>
  <c r="N78" i="3" s="1"/>
  <c r="K78" i="3"/>
  <c r="M78" i="3" s="1"/>
  <c r="J78" i="3"/>
  <c r="L77" i="3"/>
  <c r="N77" i="3" s="1"/>
  <c r="K77" i="3"/>
  <c r="M77" i="3" s="1"/>
  <c r="J77" i="3"/>
  <c r="L76" i="3"/>
  <c r="K76" i="3"/>
  <c r="J76" i="3"/>
  <c r="N76" i="3" s="1"/>
  <c r="M75" i="3"/>
  <c r="L75" i="3"/>
  <c r="K75" i="3"/>
  <c r="J75" i="3"/>
  <c r="N75" i="3" s="1"/>
  <c r="N74" i="3"/>
  <c r="L74" i="3"/>
  <c r="K74" i="3"/>
  <c r="M74" i="3" s="1"/>
  <c r="J74" i="3"/>
  <c r="L73" i="3"/>
  <c r="N73" i="3" s="1"/>
  <c r="K73" i="3"/>
  <c r="M73" i="3" s="1"/>
  <c r="J73" i="3"/>
  <c r="M72" i="3"/>
  <c r="L72" i="3"/>
  <c r="N72" i="3" s="1"/>
  <c r="K72" i="3"/>
  <c r="J72" i="3"/>
  <c r="L71" i="3"/>
  <c r="K71" i="3"/>
  <c r="M71" i="3" s="1"/>
  <c r="J71" i="3"/>
  <c r="N71" i="3" s="1"/>
  <c r="L70" i="3"/>
  <c r="K70" i="3"/>
  <c r="M70" i="3" s="1"/>
  <c r="J70" i="3"/>
  <c r="N70" i="3" s="1"/>
  <c r="M69" i="3"/>
  <c r="L69" i="3"/>
  <c r="N69" i="3" s="1"/>
  <c r="K69" i="3"/>
  <c r="J69" i="3"/>
  <c r="M68" i="3"/>
  <c r="L68" i="3"/>
  <c r="N68" i="3" s="1"/>
  <c r="K68" i="3"/>
  <c r="J68" i="3"/>
  <c r="N67" i="3"/>
  <c r="M67" i="3"/>
  <c r="L67" i="3"/>
  <c r="K67" i="3"/>
  <c r="J67" i="3"/>
  <c r="L66" i="3"/>
  <c r="N66" i="3" s="1"/>
  <c r="K66" i="3"/>
  <c r="M66" i="3" s="1"/>
  <c r="J66" i="3"/>
  <c r="L65" i="3"/>
  <c r="N65" i="3" s="1"/>
  <c r="K65" i="3"/>
  <c r="M65" i="3" s="1"/>
  <c r="J65" i="3"/>
  <c r="L64" i="3"/>
  <c r="K64" i="3"/>
  <c r="J64" i="3"/>
  <c r="N64" i="3" s="1"/>
  <c r="M63" i="3"/>
  <c r="L63" i="3"/>
  <c r="K63" i="3"/>
  <c r="J63" i="3"/>
  <c r="N63" i="3" s="1"/>
  <c r="N62" i="3"/>
  <c r="L62" i="3"/>
  <c r="K62" i="3"/>
  <c r="M62" i="3" s="1"/>
  <c r="J62" i="3"/>
  <c r="L61" i="3"/>
  <c r="N61" i="3" s="1"/>
  <c r="K61" i="3"/>
  <c r="M61" i="3" s="1"/>
  <c r="J61" i="3"/>
  <c r="M60" i="3"/>
  <c r="L60" i="3"/>
  <c r="N60" i="3" s="1"/>
  <c r="K60" i="3"/>
  <c r="J60" i="3"/>
  <c r="L59" i="3"/>
  <c r="K59" i="3"/>
  <c r="M59" i="3" s="1"/>
  <c r="J59" i="3"/>
  <c r="N59" i="3" s="1"/>
  <c r="L58" i="3"/>
  <c r="K58" i="3"/>
  <c r="M58" i="3" s="1"/>
  <c r="J58" i="3"/>
  <c r="N58" i="3" s="1"/>
  <c r="M57" i="3"/>
  <c r="L57" i="3"/>
  <c r="N57" i="3" s="1"/>
  <c r="K57" i="3"/>
  <c r="J57" i="3"/>
  <c r="M56" i="3"/>
  <c r="L56" i="3"/>
  <c r="N56" i="3" s="1"/>
  <c r="K56" i="3"/>
  <c r="J56" i="3"/>
  <c r="N55" i="3"/>
  <c r="M55" i="3"/>
  <c r="L55" i="3"/>
  <c r="K55" i="3"/>
  <c r="J55" i="3"/>
  <c r="L54" i="3"/>
  <c r="N54" i="3" s="1"/>
  <c r="K54" i="3"/>
  <c r="M54" i="3" s="1"/>
  <c r="J54" i="3"/>
  <c r="L53" i="3"/>
  <c r="N53" i="3" s="1"/>
  <c r="K53" i="3"/>
  <c r="M53" i="3" s="1"/>
  <c r="J53" i="3"/>
  <c r="L52" i="3"/>
  <c r="K52" i="3"/>
  <c r="J52" i="3"/>
  <c r="N52" i="3" s="1"/>
  <c r="M51" i="3"/>
  <c r="L51" i="3"/>
  <c r="K51" i="3"/>
  <c r="J51" i="3"/>
  <c r="N51" i="3" s="1"/>
  <c r="N50" i="3"/>
  <c r="L50" i="3"/>
  <c r="K50" i="3"/>
  <c r="M50" i="3" s="1"/>
  <c r="J50" i="3"/>
  <c r="L49" i="3"/>
  <c r="N49" i="3" s="1"/>
  <c r="K49" i="3"/>
  <c r="M49" i="3" s="1"/>
  <c r="J49" i="3"/>
  <c r="M48" i="3"/>
  <c r="L48" i="3"/>
  <c r="N48" i="3" s="1"/>
  <c r="K48" i="3"/>
  <c r="J48" i="3"/>
  <c r="L47" i="3"/>
  <c r="K47" i="3"/>
  <c r="M47" i="3" s="1"/>
  <c r="J47" i="3"/>
  <c r="N47" i="3" s="1"/>
  <c r="L46" i="3"/>
  <c r="K46" i="3"/>
  <c r="M46" i="3" s="1"/>
  <c r="J46" i="3"/>
  <c r="N46" i="3" s="1"/>
  <c r="M45" i="3"/>
  <c r="L45" i="3"/>
  <c r="N45" i="3" s="1"/>
  <c r="K45" i="3"/>
  <c r="J45" i="3"/>
  <c r="M44" i="3"/>
  <c r="L44" i="3"/>
  <c r="N44" i="3" s="1"/>
  <c r="K44" i="3"/>
  <c r="J44" i="3"/>
  <c r="N43" i="3"/>
  <c r="M43" i="3"/>
  <c r="L43" i="3"/>
  <c r="K43" i="3"/>
  <c r="J43" i="3"/>
  <c r="L42" i="3"/>
  <c r="N42" i="3" s="1"/>
  <c r="K42" i="3"/>
  <c r="M42" i="3" s="1"/>
  <c r="J42" i="3"/>
  <c r="L41" i="3"/>
  <c r="N41" i="3" s="1"/>
  <c r="K41" i="3"/>
  <c r="M41" i="3" s="1"/>
  <c r="J41" i="3"/>
  <c r="L40" i="3"/>
  <c r="K40" i="3"/>
  <c r="J40" i="3"/>
  <c r="N40" i="3" s="1"/>
  <c r="M39" i="3"/>
  <c r="L39" i="3"/>
  <c r="K39" i="3"/>
  <c r="J39" i="3"/>
  <c r="N39" i="3" s="1"/>
  <c r="N38" i="3"/>
  <c r="L38" i="3"/>
  <c r="K38" i="3"/>
  <c r="M38" i="3" s="1"/>
  <c r="J38" i="3"/>
  <c r="L37" i="3"/>
  <c r="N37" i="3" s="1"/>
  <c r="K37" i="3"/>
  <c r="M37" i="3" s="1"/>
  <c r="J37" i="3"/>
  <c r="M36" i="3"/>
  <c r="L36" i="3"/>
  <c r="N36" i="3" s="1"/>
  <c r="K36" i="3"/>
  <c r="J36" i="3"/>
  <c r="L35" i="3"/>
  <c r="K35" i="3"/>
  <c r="M35" i="3" s="1"/>
  <c r="J35" i="3"/>
  <c r="N35" i="3" s="1"/>
  <c r="L34" i="3"/>
  <c r="K34" i="3"/>
  <c r="M34" i="3" s="1"/>
  <c r="J34" i="3"/>
  <c r="N34" i="3" s="1"/>
  <c r="M33" i="3"/>
  <c r="L33" i="3"/>
  <c r="N33" i="3" s="1"/>
  <c r="K33" i="3"/>
  <c r="J33" i="3"/>
  <c r="M32" i="3"/>
  <c r="L32" i="3"/>
  <c r="N32" i="3" s="1"/>
  <c r="K32" i="3"/>
  <c r="J32" i="3"/>
  <c r="N31" i="3"/>
  <c r="M31" i="3"/>
  <c r="L31" i="3"/>
  <c r="K31" i="3"/>
  <c r="J31" i="3"/>
  <c r="L30" i="3"/>
  <c r="N30" i="3" s="1"/>
  <c r="K30" i="3"/>
  <c r="M30" i="3" s="1"/>
  <c r="J30" i="3"/>
  <c r="L29" i="3"/>
  <c r="N29" i="3" s="1"/>
  <c r="K29" i="3"/>
  <c r="M29" i="3" s="1"/>
  <c r="J29" i="3"/>
  <c r="L28" i="3"/>
  <c r="K28" i="3"/>
  <c r="J28" i="3"/>
  <c r="N28" i="3" s="1"/>
  <c r="M27" i="3"/>
  <c r="L27" i="3"/>
  <c r="K27" i="3"/>
  <c r="J27" i="3"/>
  <c r="N27" i="3" s="1"/>
  <c r="N26" i="3"/>
  <c r="L26" i="3"/>
  <c r="K26" i="3"/>
  <c r="M26" i="3" s="1"/>
  <c r="J26" i="3"/>
  <c r="L25" i="3"/>
  <c r="N25" i="3" s="1"/>
  <c r="K25" i="3"/>
  <c r="M25" i="3" s="1"/>
  <c r="J25" i="3"/>
  <c r="M24" i="3"/>
  <c r="L24" i="3"/>
  <c r="N24" i="3" s="1"/>
  <c r="K24" i="3"/>
  <c r="J24" i="3"/>
  <c r="L23" i="3"/>
  <c r="K23" i="3"/>
  <c r="M23" i="3" s="1"/>
  <c r="J23" i="3"/>
  <c r="N23" i="3" s="1"/>
  <c r="L22" i="3"/>
  <c r="K22" i="3"/>
  <c r="M22" i="3" s="1"/>
  <c r="J22" i="3"/>
  <c r="N22" i="3" s="1"/>
  <c r="M21" i="3"/>
  <c r="L21" i="3"/>
  <c r="N21" i="3" s="1"/>
  <c r="K21" i="3"/>
  <c r="J21" i="3"/>
  <c r="M20" i="3"/>
  <c r="L20" i="3"/>
  <c r="N20" i="3" s="1"/>
  <c r="K20" i="3"/>
  <c r="J20" i="3"/>
  <c r="N19" i="3"/>
  <c r="M19" i="3"/>
  <c r="L19" i="3"/>
  <c r="K19" i="3"/>
  <c r="J19" i="3"/>
  <c r="L18" i="3"/>
  <c r="N18" i="3" s="1"/>
  <c r="K18" i="3"/>
  <c r="M18" i="3" s="1"/>
  <c r="J18" i="3"/>
  <c r="L17" i="3"/>
  <c r="N17" i="3" s="1"/>
  <c r="K17" i="3"/>
  <c r="M17" i="3" s="1"/>
  <c r="J17" i="3"/>
  <c r="L16" i="3"/>
  <c r="K16" i="3"/>
  <c r="J16" i="3"/>
  <c r="N16" i="3" s="1"/>
  <c r="L15" i="3"/>
  <c r="K15" i="3"/>
  <c r="J15" i="3"/>
  <c r="M15" i="3" s="1"/>
  <c r="N14" i="3"/>
  <c r="L14" i="3"/>
  <c r="K14" i="3"/>
  <c r="M14" i="3" s="1"/>
  <c r="J14" i="3"/>
  <c r="L13" i="3"/>
  <c r="N13" i="3" s="1"/>
  <c r="K13" i="3"/>
  <c r="M13" i="3" s="1"/>
  <c r="J13" i="3"/>
  <c r="M12" i="3"/>
  <c r="L12" i="3"/>
  <c r="N12" i="3" s="1"/>
  <c r="K12" i="3"/>
  <c r="J12" i="3"/>
  <c r="L11" i="3"/>
  <c r="K11" i="3"/>
  <c r="M11" i="3" s="1"/>
  <c r="J11" i="3"/>
  <c r="N11" i="3" s="1"/>
  <c r="L10" i="3"/>
  <c r="K10" i="3"/>
  <c r="M10" i="3" s="1"/>
  <c r="J10" i="3"/>
  <c r="N10" i="3" s="1"/>
  <c r="M9" i="3"/>
  <c r="L9" i="3"/>
  <c r="N9" i="3" s="1"/>
  <c r="K9" i="3"/>
  <c r="J9" i="3"/>
  <c r="M8" i="3"/>
  <c r="L8" i="3"/>
  <c r="N8" i="3" s="1"/>
  <c r="K8" i="3"/>
  <c r="J8" i="3"/>
  <c r="N7" i="3"/>
  <c r="M7" i="3"/>
  <c r="L7" i="3"/>
  <c r="K7" i="3"/>
  <c r="J7" i="3"/>
  <c r="L6" i="3"/>
  <c r="N6" i="3" s="1"/>
  <c r="K6" i="3"/>
  <c r="M6" i="3" s="1"/>
  <c r="J6" i="3"/>
  <c r="L5" i="3"/>
  <c r="N5" i="3" s="1"/>
  <c r="K5" i="3"/>
  <c r="M5" i="3" s="1"/>
  <c r="J5" i="3"/>
  <c r="L4" i="3"/>
  <c r="K4" i="3"/>
  <c r="J4" i="3"/>
  <c r="N4" i="3" s="1"/>
  <c r="L3" i="3"/>
  <c r="K3" i="3"/>
  <c r="J3" i="3"/>
  <c r="J83" i="3" s="1"/>
  <c r="N2" i="3"/>
  <c r="L2" i="3"/>
  <c r="L83" i="3" s="1"/>
  <c r="K2" i="3"/>
  <c r="K83" i="3" s="1"/>
  <c r="J2" i="3"/>
  <c r="J85" i="3" s="1"/>
  <c r="N15" i="3" l="1"/>
  <c r="L85" i="3"/>
  <c r="K82" i="3"/>
  <c r="L82" i="3"/>
  <c r="J84" i="3"/>
  <c r="K85" i="3"/>
  <c r="J82" i="3"/>
  <c r="M4" i="3"/>
  <c r="M16" i="3"/>
  <c r="M28" i="3"/>
  <c r="M40" i="3"/>
  <c r="M52" i="3"/>
  <c r="M64" i="3"/>
  <c r="M76" i="3"/>
  <c r="K84" i="3"/>
  <c r="N3" i="3"/>
  <c r="L84" i="3"/>
  <c r="M3" i="3"/>
  <c r="M2" i="3"/>
</calcChain>
</file>

<file path=xl/comments1.xml><?xml version="1.0" encoding="utf-8"?>
<comments xmlns="http://schemas.openxmlformats.org/spreadsheetml/2006/main" xmlns:mc="http://schemas.openxmlformats.org/markup-compatibility/2006" xmlns:xr="http://schemas.microsoft.com/office/spreadsheetml/2014/revision" mc:Ignorable="xr">
  <authors>
    <author>Unknown Author</author>
  </authors>
  <commentList>
    <comment ref="L1" authorId="0" shapeId="0" xr:uid="{00000000-0006-0000-0200-000001000000}">
      <text>
        <r>
          <rPr>
            <sz val="10"/>
            <rFont val="Arial"/>
            <family val="2"/>
          </rPr>
          <t>Entropy weights:
D1=0.1145
D2=0.2254
D3=0.1267
D4=0.5334</t>
        </r>
      </text>
    </comment>
  </commentList>
</comments>
</file>

<file path=xl/sharedStrings.xml><?xml version="1.0" encoding="utf-8"?>
<sst xmlns="http://schemas.openxmlformats.org/spreadsheetml/2006/main" count="519" uniqueCount="264">
  <si>
    <t>Weighted Composite Sensitivity Analysis — Phase 1 Scoring</t>
  </si>
  <si>
    <t>CSC 808 Mixed Methods Research | Rambel Stone | 2026-04-22</t>
  </si>
  <si>
    <t>PURPOSE</t>
  </si>
  <si>
    <t>This workbook implements weighted composite scoring (per Ayan, Abacıoğlu, and Basilio, 2023) as a sensitivity analysis for the Phase 1 AIDFIR confidence scores. The primary aggregation rule is min-score (weakest-link), which drives all findings in Chapter 4 and the Phase 2 integration matrix. This sensitivity analysis tests whether those findings are robust to the aggregation rule, fulfilling the research design commitment to MCDM weighted composite scoring.</t>
  </si>
  <si>
    <t>THREE AGGREGATION RULES COMPARED</t>
  </si>
  <si>
    <t>Min-score (primary)</t>
  </si>
  <si>
    <t>doc_score = min(D1, D2, D3, D4). Conjunctive rule; any dimension at floor forces aggregate to floor. Conservative gap-identification posture consistent with compliance-analysis frameworks.</t>
  </si>
  <si>
    <t>Equal weights (sensitivity 1)</t>
  </si>
  <si>
    <t>composite = (D1 + D2 + D3 + D4) / 4. No prior judgment about relative dimension importance; treats all four dimensions as equally constitutive of AIDFIR confidence.</t>
  </si>
  <si>
    <t>Entropy weights (sensitivity 2)</t>
  </si>
  <si>
    <t>composite = w1·D1 + w2·D2 + w3·D3 + w4·D4, where weights are derived via Shannon entropy method per Ayan et al. (2023). Data-driven; dimensions with higher discriminative variance receive higher weights.</t>
  </si>
  <si>
    <t>ENTROPY WEIGHTS — DERIVED VALUES</t>
  </si>
  <si>
    <t>D1 weight</t>
  </si>
  <si>
    <t>0.1145 (11.5%)</t>
  </si>
  <si>
    <t>D2 weight</t>
  </si>
  <si>
    <t>0.2254 (22.5%)</t>
  </si>
  <si>
    <t>D3 weight</t>
  </si>
  <si>
    <t>0.1267 (12.7%)</t>
  </si>
  <si>
    <t>D4 weight</t>
  </si>
  <si>
    <t>0.5334 (53.3%)</t>
  </si>
  <si>
    <t>Interpretation</t>
  </si>
  <si>
    <t>D4 (AI-specific validation guidance) receives the largest entropy weight because it exhibits the greatest discriminative variation across the corpus (CV = 0.702 vs. 0.282–0.411 for other dimensions). The data-driven weight independently corroborates the theoretical emphasis on D4 as the locus of the AIDFIR gap.</t>
  </si>
  <si>
    <t>KEY ROBUSTNESS FINDINGS</t>
  </si>
  <si>
    <t>D4-limiting pattern (GP2)</t>
  </si>
  <si>
    <t>Robust across all three rules. D4 remains the dimension dragging composite scores under all weighting schemes. See 'Gap Pattern Robustness' sheet.</t>
  </si>
  <si>
    <t>NIST-SWGDE differential (GP4)</t>
  </si>
  <si>
    <t>Robust across all three rules. Direction preserved; effect size varies. See 'Org Differentials' sheet for Cohen's d under each rule.</t>
  </si>
  <si>
    <t>CFTT paradox (GP3)</t>
  </si>
  <si>
    <t>Rule-dependent. Most visible under min-score (all 14 CFTT reports at doc_score=1). Under equal weights, CFTT reports average 3.25. Under entropy weights, 2.41. The paradox finding therefore depends on the aggregation rule — a substantive result in itself: high reproducibility does elevate composite scores somewhat, but does not compensate for absent AI validation under any data-driven weighting. See 'CFTT Paradox Under Rules' sheet.</t>
  </si>
  <si>
    <t>Corpus-wide floor (GP1)</t>
  </si>
  <si>
    <t>Attenuated under composite rules (as expected — composite rules are less conservative). The AIDFIR gap remains visible but manifests as 'low composite scores' rather than 'score-1 floor'. See 'Distribution Comparison' sheet.</t>
  </si>
  <si>
    <t>IMPLICATIONS FOR CHAPTER 3 / CHAPTER 5</t>
  </si>
  <si>
    <t>Chapter 3 methods framing</t>
  </si>
  <si>
    <t>Aggregate document scores were computed using min-score aggregation as the primary rule, reflecting a conservative gap-identification posture consistent with compliance-analysis traditions. To assess robustness of findings to the aggregation rule, weighted composite scores were computed under equal weights and Shannon entropy weights following Ayan et al. (2023) as a sensitivity analysis. This fulfills the research design commitment to MCDM weighted composite scoring.</t>
  </si>
  <si>
    <t>Chapter 5 integration implication</t>
  </si>
  <si>
    <t>Two of the three most-cited gap patterns (GP2 D4-limiting, GP4 org differential) are robust across all three aggregation rules. The CFTT paradox (GP3) is most sharply visible under min-score but directionally preserved under entropy weights. The Phase 2 integration matrix is therefore supported by all three rules for the robust patterns and by two of three for the CFTT paradox.</t>
  </si>
  <si>
    <t>Pilot-to-dissertation handoff</t>
  </si>
  <si>
    <t>Dissertation-scale work should (a) add CRITIC weights as a third data-driven scheme accounting for dimension correlations, (b) conduct formal statistical comparisons of the distributions under each rule, and (c) quantify the CFTT paradox specifically under each rule with a chi-square or similar test. This pilot establishes the descriptive robustness check.</t>
  </si>
  <si>
    <t>REFERENCE</t>
  </si>
  <si>
    <t>Ayan et al. (2023)</t>
  </si>
  <si>
    <t>Ayan, B., Abacıoğlu, S., and Basilio, M. P. (2023). A comprehensive review of the novel weighting methods for multi-criteria decision-making. Information, 14(5), 285. https://doi.org/10.3390/info14050285</t>
  </si>
  <si>
    <t>Shannon Entropy Weight Derivation</t>
  </si>
  <si>
    <t>Standard MCDM procedure per Ayan et al. (2023), Section 3.2</t>
  </si>
  <si>
    <t>Step 1 — Column sums (for normalization)</t>
  </si>
  <si>
    <t>Dimension</t>
  </si>
  <si>
    <t>Sum across N=78 docs</t>
  </si>
  <si>
    <t>Mean</t>
  </si>
  <si>
    <t>Std. dev.</t>
  </si>
  <si>
    <t>CV (SD/mean)</t>
  </si>
  <si>
    <t>D1</t>
  </si>
  <si>
    <t>D2</t>
  </si>
  <si>
    <t>D3</t>
  </si>
  <si>
    <t>D4</t>
  </si>
  <si>
    <t>Step 2 — Shannon entropy per dimension</t>
  </si>
  <si>
    <t>Formula:</t>
  </si>
  <si>
    <t>H_j = −(1/ln N) · Σᵢ pᵢⱼ · ln(pᵢⱼ)   where pᵢⱼ = xᵢⱼ / Σᵢ xᵢⱼ</t>
  </si>
  <si>
    <t>Normalized entropy H_j</t>
  </si>
  <si>
    <t>Divergence d_j = 1 − H_j</t>
  </si>
  <si>
    <t>Weight w_j = d_j / Σd</t>
  </si>
  <si>
    <t>Weight (%)</t>
  </si>
  <si>
    <t>11.45%</t>
  </si>
  <si>
    <t>22.54%</t>
  </si>
  <si>
    <t>12.67%</t>
  </si>
  <si>
    <t>53.34%</t>
  </si>
  <si>
    <t>Total</t>
  </si>
  <si>
    <t>100.00%</t>
  </si>
  <si>
    <t>D4 (AI-specific validation guidance) receives the highest weight (53.34%) because it exhibits the greatest discriminative variation across the corpus. 52 of 78 documents score D4=1, 13 score D4=2, and the remaining 13 spread across D4=3–5. This bimodal distribution produces the largest divergence from uniform, which under Shannon entropy translates to the highest weight. D1 receives the lowest weight (11.45%) because its distribution is concentrated in D1=2 and D1=3 with minimal tail variation — low discriminative power. The data-driven weighting therefore independently corroborates the theoretical focus on D4 as the locus of the AIDFIR gap.</t>
  </si>
  <si>
    <t>ID</t>
  </si>
  <si>
    <t>Title</t>
  </si>
  <si>
    <t>Org</t>
  </si>
  <si>
    <t>Doc family</t>
  </si>
  <si>
    <t>Year band</t>
  </si>
  <si>
    <t>Equal weights</t>
  </si>
  <si>
    <t>Entropy weights</t>
  </si>
  <si>
    <t>Δ Equal−Min</t>
  </si>
  <si>
    <t>Δ Entropy−Min</t>
  </si>
  <si>
    <t>Artificial Intelligence Risk Management Framework (AI RMF 1.0)</t>
  </si>
  <si>
    <t>NIST</t>
  </si>
  <si>
    <t>NIST AI/RMF</t>
  </si>
  <si>
    <t>2022-2023</t>
  </si>
  <si>
    <t>AI RMF Playbook</t>
  </si>
  <si>
    <t>Artificial Intelligence Risk Management Framework: Generative AI (NIST AI 600-1)</t>
  </si>
  <si>
    <t>2024-2025</t>
  </si>
  <si>
    <t>Cybersecurity Framework Profile for Artificial Intelligence (Cyber AI Profile)</t>
  </si>
  <si>
    <t>NIST Other</t>
  </si>
  <si>
    <t>Mobile Device Forensic Tool Test Specification v3.3</t>
  </si>
  <si>
    <t>CFTT Test Specification</t>
  </si>
  <si>
    <t>Mobile Device Forensic Tool Test Specification v3.2</t>
  </si>
  <si>
    <t>Mobile Device Forensic Tool Test Specification v3.1</t>
  </si>
  <si>
    <t>2020-2021</t>
  </si>
  <si>
    <t>Disk Imaging Tool: Tableau TX1 Forensic Imager v22.3.0 (Federated Test Report)</t>
  </si>
  <si>
    <t>CFTT Test Report</t>
  </si>
  <si>
    <t>Disk Imaging Tool: F-SecuManager v1 (Federated Test Report)</t>
  </si>
  <si>
    <t>Disk Imaging Tool: Tableau TX1 Forensic Imager v21.3 (Federated Test Report)</t>
  </si>
  <si>
    <t>Disk Imaging Tool: DFT v1.0 (Federated Test Report)</t>
  </si>
  <si>
    <t>Disk Imaging Tool: ATRIO v4.0 (Federated Test Report)</t>
  </si>
  <si>
    <t>Disk Imaging Tool: OSForensics v8.0.1007 (Federated Test Report)</t>
  </si>
  <si>
    <t>Disk Imaging Tool: Logicube Falcon-NEO v3.2 (Federated Test Report)</t>
  </si>
  <si>
    <t>Hardware Write Block: Apricorn Aegis NVX v0203.7846 (Federated Test Report)</t>
  </si>
  <si>
    <t>Hardware Write Block: Tableau Forensic Universal Bridge (Federated Test Report)</t>
  </si>
  <si>
    <t>Hardware Write Block: WiebeTech Forensic ComboDock v6 (Federated Test Report)</t>
  </si>
  <si>
    <t>Hardware Write Block: WiebeTech NVMe WriteBlocker (Federated Test Report)</t>
  </si>
  <si>
    <t>Hardware Write Block: CRU USB 3.0 WriteBlocker (Federated Test Report)</t>
  </si>
  <si>
    <t>Forensic Media Preparation: EcoErase v6.2.0 (Federated Test Report)</t>
  </si>
  <si>
    <t>Forensic Media Preparation: Mac Test and Erasure v10.40 (Federated Test Report)</t>
  </si>
  <si>
    <t>Digital Investigation Techniques: A NIST Scientific Foundation Review (Draft)</t>
  </si>
  <si>
    <t>Open Media Forensics Challenge (OpenMFC) 2020-2021: Past, Present, and Future</t>
  </si>
  <si>
    <t>Guardians of Forensic Evidence: Evaluating Analytic Systems Against AI-Generated Deepfakes</t>
  </si>
  <si>
    <t>Guide to Applying the Risk Management Framework to Federal Information Systems (SP 800-37 Rev 2)</t>
  </si>
  <si>
    <t>NIST SP 800 / CSF</t>
  </si>
  <si>
    <t>Security and Privacy Controls for Information Systems (SP 800-53 Rev 5)</t>
  </si>
  <si>
    <t>Assessing Security and Privacy Controls (SP 800-53A Rev 5)</t>
  </si>
  <si>
    <t>Computer Security Incident Handling Guide (SP 800-61 Rev 3)</t>
  </si>
  <si>
    <t>Cybersecurity Log Management Planning Guide (SP 800-92 Rev 1 Draft)</t>
  </si>
  <si>
    <t>Cybersecurity Framework (CSF) v1.1 (active 2020-2024)</t>
  </si>
  <si>
    <t>Cybersecurity Framework 2.0</t>
  </si>
  <si>
    <t>Towards a Standard for Identifying and Managing Bias in Artificial Intelligence (NIST SP 1270)</t>
  </si>
  <si>
    <t>Towards a Standard for Identifying and Managing Bias in AI (Draft Update)</t>
  </si>
  <si>
    <t>AI 100-2 E2023 (Adversarial ML Taxonomy)</t>
  </si>
  <si>
    <t>Secure Software Development Practices for Generative AI (NIST SP 800-218A)</t>
  </si>
  <si>
    <t>AI 100-4: Reducing Risks Posed by Synthetic Content</t>
  </si>
  <si>
    <t>AI 100-5: A Plan for Global Engagement on AI Standards</t>
  </si>
  <si>
    <t>Best Practices for Computer Forensic Acquisitions (v2.1)</t>
  </si>
  <si>
    <t>SWGDE</t>
  </si>
  <si>
    <t>Best Practices for Digital Evidence Collection (v2.0)</t>
  </si>
  <si>
    <t>Best Practices for Computer Forensic Examinations (v2.0)</t>
  </si>
  <si>
    <t>Recommendations for Historical Cell Site Analysis (v4.0)</t>
  </si>
  <si>
    <t>Core Competencies for Mobile Device Forensics (v2.0)</t>
  </si>
  <si>
    <t>Best Practices for Mobile Device Evidence Collection &amp; Preservation (v2.0)</t>
  </si>
  <si>
    <t>Best Practices for Drone Forensics (v1.2)</t>
  </si>
  <si>
    <t>Considerations for Focused Collection of Digital Evidence (v2.0)</t>
  </si>
  <si>
    <t>Best Practices for Handling Damaged Digital Storage Devices (v2.0)</t>
  </si>
  <si>
    <t>Best Practices for Remote Collection of Digital Evidence from an Endpoint (v2.0)</t>
  </si>
  <si>
    <t>Best Practices for Digital Evidence Acquisition, Preservation, and Analysis from Cloud Service Providers (v1.1)</t>
  </si>
  <si>
    <t>Tech Notes on Cryptocurrency (v1.1)</t>
  </si>
  <si>
    <t>Core Competencies for Digital Forensics (v2.0)</t>
  </si>
  <si>
    <t>Best Practices for Internet of Things Seizure and Analysis (v1.0)</t>
  </si>
  <si>
    <t>Best Practices for Vehicle Infotainment and Telematics Systems (v3.2)</t>
  </si>
  <si>
    <t>Considerations for Required Minimization of Digital Evidence Seizure (v2.1)</t>
  </si>
  <si>
    <t>Best Practices Apple MacOS Forensic Acquisition (v1.0)</t>
  </si>
  <si>
    <t>Best Practices for Acquiring Online Content (v1.1)</t>
  </si>
  <si>
    <t>Linux Technical Notes (v2.0)</t>
  </si>
  <si>
    <t>Best Practices for Computer Forensic Acquisitions (v2.0)</t>
  </si>
  <si>
    <t>Best Practices for On-Scene Identification, Seizure, and Preservation of IoT Devices (v1.0)</t>
  </si>
  <si>
    <t>Best Practices for Remote Collection of Digital Evidence from Networked Computing Environment (v1.0)</t>
  </si>
  <si>
    <t>Best Practices for Obtaining Google Reverse Location Data for Investigative Purposes (v1.2)</t>
  </si>
  <si>
    <t>Best Practices for Drone Forensics (v1.0)</t>
  </si>
  <si>
    <t>Best Practices for Digital Evidence Acquisition from Cloud Service Providers (v1.0)</t>
  </si>
  <si>
    <t>Best Practices for Mobile Device Evidence Collection &amp; Preservation (v1.2)</t>
  </si>
  <si>
    <t>Best Practices for Personnel Presenting Digital Evidence in Legal Proceedings (v1.1)</t>
  </si>
  <si>
    <t>Introduction to Testimony in Digital and Multimedia Forensics (v1.1)</t>
  </si>
  <si>
    <t>Guidance for DME Labs on Addressing ANABs 2020 Update on Field Sampling (v1.0)</t>
  </si>
  <si>
    <t>Establishing a Quality Management System for Digital and Multimedia Organization under ISO-IEC 17025 or 17020 (v2.0)</t>
  </si>
  <si>
    <t>Best Practices for Digital Forensic Video Analysis (v2.0)</t>
  </si>
  <si>
    <t>Technical Overview of Digital Video Files (v1.4)</t>
  </si>
  <si>
    <t>Video and Audio Redaction Guidelines (v2.3)</t>
  </si>
  <si>
    <t>Best Practices for Data Acquisition from Digital Video Recorders (v1.4)</t>
  </si>
  <si>
    <t>Best Practices for Digital Forensic Video Analysis (v1.1)</t>
  </si>
  <si>
    <t>Overview: Artificial Intelligence Trends in Video Analysis (v1.0)</t>
  </si>
  <si>
    <t>Guidelines for Video Evidence Canvassing and Collection (v1.0)</t>
  </si>
  <si>
    <t>Legal and Scientific Support Relating to the Admissibility of Image Examinations (v1.0)</t>
  </si>
  <si>
    <t>Guidelines for Forensic Image Analysis (v2.0)</t>
  </si>
  <si>
    <t>Best Practices for Image Content Analysis (v1.2)</t>
  </si>
  <si>
    <t>Best Practices for Image Authentication (v2.0)</t>
  </si>
  <si>
    <t>Summary</t>
  </si>
  <si>
    <t>SD</t>
  </si>
  <si>
    <t>Min</t>
  </si>
  <si>
    <t>Max</t>
  </si>
  <si>
    <t>Score Distribution Under Each Aggregation Rule</t>
  </si>
  <si>
    <t>Score bin</t>
  </si>
  <si>
    <t>Min-score (count)</t>
  </si>
  <si>
    <t>Min-score (%)</t>
  </si>
  <si>
    <t>Equal-weights (count)</t>
  </si>
  <si>
    <t>Equal-weights (%)</t>
  </si>
  <si>
    <t>Entropy-weights (count)</t>
  </si>
  <si>
    <t>Entropy-weights (%)</t>
  </si>
  <si>
    <t>1.00–1.49</t>
  </si>
  <si>
    <t>1.50–1.99</t>
  </si>
  <si>
    <t>2.00–2.49</t>
  </si>
  <si>
    <t>2.50–2.99</t>
  </si>
  <si>
    <t>3.00–3.49</t>
  </si>
  <si>
    <t>3.50–3.99</t>
  </si>
  <si>
    <t>4.00–4.49</t>
  </si>
  <si>
    <t>4.50–5.00</t>
  </si>
  <si>
    <t>Summary statistics</t>
  </si>
  <si>
    <t>Statistic</t>
  </si>
  <si>
    <t>Min-score</t>
  </si>
  <si>
    <t>Median</t>
  </si>
  <si>
    <t>Interpretation: Min-score produces the most concentrated distribution (57 of 78 docs at 1.00–1.49) because the conjunctive rule forces any dimension at floor to dominate. Equal weights smooth the distribution (mean 2.41), and entropy weights sit between (mean 1.87) because D4's high weight pulls composites toward the D4 value, which is low for most of the corpus. The AIDFIR gap remains visible under all three rules but is sharpest under min-score, as designed.</t>
  </si>
  <si>
    <t>Gap Pattern Robustness Across Aggregation Rules</t>
  </si>
  <si>
    <t>Each pattern evaluated under min-score (primary), equal weights, and entropy weights.</t>
  </si>
  <si>
    <t>Gap pattern</t>
  </si>
  <si>
    <t>Operationalization</t>
  </si>
  <si>
    <t>Min-score result</t>
  </si>
  <si>
    <t>Equal-weights result</t>
  </si>
  <si>
    <t>Entropy-weights result</t>
  </si>
  <si>
    <t>Robustness</t>
  </si>
  <si>
    <t>GP1: Corpus-wide confidence floor</t>
  </si>
  <si>
    <t>Min-score: doc_score=1. Composite: composite ≤ 2.0 (bottom-quartile floor).</t>
  </si>
  <si>
    <t>57/78 (73.1%) at doc_score=1</t>
  </si>
  <si>
    <t>39/78 (50.0%) at ≤2.0</t>
  </si>
  <si>
    <t>38/78 (48.7%) at ≤2.0</t>
  </si>
  <si>
    <t>Robust in direction; sharpest under min-score by design of the rule.</t>
  </si>
  <si>
    <t>GP2: D4 as dominant limiter (AIDFIR gap)</t>
  </si>
  <si>
    <t>Min-score: D4 is the minimum dimension. Composite: D4 &lt; mean(D1,D2,D3).</t>
  </si>
  <si>
    <t>62/78 (79.5%) D4-limiting</t>
  </si>
  <si>
    <t>62/78 (79.5%) D4 below other-dim mean</t>
  </si>
  <si>
    <t>Same as equal: 62/78 (79.5%)</t>
  </si>
  <si>
    <t>Robust across all rules. D4 drags composite downward regardless of weighting scheme.</t>
  </si>
  <si>
    <t>GP3: CFTT reproducibility-validation paradox</t>
  </si>
  <si>
    <t>Min-score: CFTT reports at doc_score=1. Composite: CFTT mean composite score.</t>
  </si>
  <si>
    <t>14/14 (14/14) at doc_score=1</t>
  </si>
  <si>
    <t>CFTT mean equal-weighted = 3.25</t>
  </si>
  <si>
    <t>CFTT mean entropy-weighted = 2.41</t>
  </si>
  <si>
    <t>Rule-dependent magnitude. Under min-score the paradox is absolute (all 14 at floor). Under equal weights it attenuates substantially (mean 3.25) because D3=5 and D2=4 elevate the average. Under entropy weights it partially persists (mean 2.41) because D4 carries 53% weight. Substantively: the paradox is visible under every data-driven rule.</t>
  </si>
  <si>
    <t>GP4: NIST-SWGDE cross-dimensional differential</t>
  </si>
  <si>
    <t>Direction and magnitude of NIST-SWGDE mean difference on aggregate score.</t>
  </si>
  <si>
    <t>NIST 1.59 − SWGDE 1.15 = +0.45, d=0.72</t>
  </si>
  <si>
    <t>NIST 2.93 − SWGDE 1.93 = +1.00, d=2.00</t>
  </si>
  <si>
    <t>NIST 2.65 − SWGDE 1.62 = +1.03, d=1.76</t>
  </si>
  <si>
    <t>Robust across all rules. Direction preserved; effect size largest under entropy weights because D4 (where NIST-SWGDE gap is largest) carries highest weight.</t>
  </si>
  <si>
    <t>GP5: AI presence without confidence integration</t>
  </si>
  <si>
    <t>D4≥3 combined with aggregate &lt; 3.</t>
  </si>
  <si>
    <t>6/78 (7.7%)</t>
  </si>
  <si>
    <t>3/78 (3.8%)</t>
  </si>
  <si>
    <t>Rule-sensitive by construction: as the composite rule incorporates D4, the 'AI present but aggregate low' pattern transforms. Under entropy weights, D4≥3 docs rise above 3.0 composite, so pattern attenuates. This is an expected structural consequence, not a contradiction.</t>
  </si>
  <si>
    <t>GP6: Organizationally asymmetric temporal trajectory</t>
  </si>
  <si>
    <t>NIST vs. SWGDE mean aggregate across three year bands.</t>
  </si>
  <si>
    <t>NIST 1.30→1.57→1.85; SWGDE 1.00→1.00→1.21</t>
  </si>
  <si>
    <t>NIST 2.98→2.89→2.94; SWGDE 1.95→1.84→1.96</t>
  </si>
  <si>
    <t>NIST 2.38→2.57→2.94; SWGDE 1.69→1.50→1.65</t>
  </si>
  <si>
    <t>Robust across all rules. NIST trajectory rises monotonically; SWGDE trajectory remains flat or declines slightly. Divergence widens under entropy weighting.</t>
  </si>
  <si>
    <t>NIST vs. SWGDE Differentials Under Each Rule</t>
  </si>
  <si>
    <t>Rule</t>
  </si>
  <si>
    <t>NIST mean</t>
  </si>
  <si>
    <t>NIST SD</t>
  </si>
  <si>
    <t>SWGDE mean</t>
  </si>
  <si>
    <t>SWGDE SD</t>
  </si>
  <si>
    <t>Difference</t>
  </si>
  <si>
    <t>Pooled SD</t>
  </si>
  <si>
    <t>Cohen's d</t>
  </si>
  <si>
    <t>The NIST-SWGDE differential is robust in direction across all three aggregation rules. Cohen's d is largest under entropy weighting because the dimension where the organizational gap is widest (D4, diff +1.02) receives 53.3% of the composite weight. This is methodologically consistent: entropy weights amplify the dimensions with highest discriminative variation, and the NIST-SWGDE gap is concentrated in exactly those dimensions.</t>
  </si>
  <si>
    <t>CFTT Reproducibility-Validation Paradox: Behavior Across Rules</t>
  </si>
  <si>
    <t>Context</t>
  </si>
  <si>
    <t>All 14 CFTT Test Reports share the exact dimension profile D1=3, D2=4, D3=5, D4=1. This uniformity makes CFTT an ideal test case for aggregation-rule sensitivity: the reports score maximally on reproducibility (D3) and minimally on AI-specific validation (D4) in the same document.</t>
  </si>
  <si>
    <t>CFTT Report (abbreviated title)</t>
  </si>
  <si>
    <t>Equal</t>
  </si>
  <si>
    <t>Entropy</t>
  </si>
  <si>
    <t>Tableau TX1 Forensic Imager v22.3.0 (Federated Tes</t>
  </si>
  <si>
    <t>F-SecuManager v1 (Federated Test Report)</t>
  </si>
  <si>
    <t xml:space="preserve">Tableau TX1 Forensic Imager v21.3 (Federated Test </t>
  </si>
  <si>
    <t>DFT v1.0 (Federated Test Report)</t>
  </si>
  <si>
    <t>ATRIO v4.0 (Federated Test Report)</t>
  </si>
  <si>
    <t>OSForensics v8.0.1007 (Federated Test Report)</t>
  </si>
  <si>
    <t>Logicube Falcon-NEO v3.2 (Federated Test Report)</t>
  </si>
  <si>
    <t>Apricorn Aegis NVX v0203.7846 (Federated Test Repo</t>
  </si>
  <si>
    <t xml:space="preserve">Tableau Forensic Universal Bridge (Federated Test </t>
  </si>
  <si>
    <t>WiebeTech Forensic ComboDock v6 (Federated Test Re</t>
  </si>
  <si>
    <t>WiebeTech NVMe WriteBlocker (Federated Test Report</t>
  </si>
  <si>
    <t>CRU USB 3.0 WriteBlocker (Federated Test Report)</t>
  </si>
  <si>
    <t>EcoErase v6.2.0 (Federated Test Report)</t>
  </si>
  <si>
    <t>Mac Test and Erasure v10.40 (Federated Test Report</t>
  </si>
  <si>
    <t>(all 14 reports identical)</t>
  </si>
  <si>
    <t>The CFTT paradox is empirically real across aggregation rules but expresses itself differently under each. Under min-score, the paradox is absolute: all 14 reports sit at doc_score=1, the corpus floor. Under equal weights, they rise to 3.25 because D3=5 and D2=4 compensate for D4=1 in the average. Under entropy weights, they sit at 2.41 because D4's 53.3% weight partially offsets the compensation. The substantive finding is preserved: under every data-driven weighting scheme, the CFTT reports score meaningfully below what their reproducibility (D3) alone would suggest, because D4 is doing real discriminative work. The paradox is not an artifact of min-score aggregation; min-score simply presents it most sharply.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</si>
</sst>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0;\-0.00;0.00"/>
    <numFmt numFmtId="165" formatCode="0.0%"/>
  </numFmts>
  <fonts count="9">
    <font>
      <sz val="11"/>
      <color theme="1"/>
      <name val="Calibri"/>
      <family val="2"/>
      <charset val="1"/>
    </font>
    <font>
      <b/>
      <sz val="14"/>
      <name val="Arial"/>
      <charset val="1"/>
    </font>
    <font>
      <i/>
      <sz val="10"/>
      <color rgb="FF555555"/>
      <name val="Arial"/>
      <charset val="1"/>
    </font>
    <font>
      <sz val="10"/>
      <name val="Arial"/>
      <charset val="1"/>
    </font>
    <font>
      <b/>
      <sz val="11"/>
      <color rgb="FF1F3864"/>
      <name val="Arial"/>
      <charset val="1"/>
    </font>
    <font>
      <b/>
      <sz val="10"/>
      <name val="Arial"/>
      <charset val="1"/>
    </font>
    <font>
      <b/>
      <sz val="11"/>
      <color rgb="FFFFFFFF"/>
      <name val="Arial"/>
      <charset val="1"/>
    </font>
    <font>
      <sz val="10"/>
      <name val="Courier New"/>
      <charset val="1"/>
    </font>
    <font>
      <sz val="10"/>
      <name val="Arial"/>
      <family val="2"/>
    </font>
  </fonts>
  <fills count="5">
    <fill>
      <patternFill patternType="none"/>
    </fill>
    <fill>
      <patternFill patternType="gray125"/>
    </fill>
    <fill>
      <patternFill patternType="solid">
        <fgColor rgb="FF1F3864"/>
        <bgColor rgb="FF333333"/>
      </patternFill>
    </fill>
    <fill>
      <patternFill patternType="solid">
        <fgColor rgb="FFD9E1F2"/>
        <bgColor rgb="FFCCFFFF"/>
      </patternFill>
    </fill>
    <fill>
      <patternFill patternType="solid">
        <fgColor rgb="FFFFF2CC"/>
        <bgColor rgb="FFFFFFFF"/>
      </patternFill>
    </fill>
  </fills>
  <borders count="2">
    <border>
      <left/>
      <right/>
      <top/>
      <bottom/>
      <diagonal/>
    </border>
    <border>
      <left style="thin">
        <color rgb="FF999999"/>
      </left>
      <right style="thin">
        <color rgb="FF999999"/>
      </right>
      <top style="thin">
        <color rgb="FF999999"/>
      </top>
      <bottom style="thin">
        <color rgb="FF999999"/>
      </bottom>
      <diagonal/>
    </border>
  </borders>
  <cellStyleXfs count="1">
    <xf numFmtId="0" fontId="0" fillId="0" borderId="0"/>
  </cellStyleXfs>
  <cellXfs count="27">
    <xf numFmtId="0" fontId="0" fillId="0" borderId="0" xfId="0"/>
    <xf numFmtId="0" fontId="3" fillId="0" borderId="0" xfId="0" applyFont="1" applyAlignment="1">
      <alignment horizontal="left" vertical="top" wrapText="1"/>
    </xf>
    <xf numFmtId="0" fontId="5" fillId="0" borderId="0" xfId="0" applyFont="1"/>
    <xf numFmtId="0" fontId="2" fillId="0" borderId="0" xfId="0" applyFont="1"/>
    <xf numFmtId="0" fontId="1" fillId="0" borderId="0" xfId="0" applyFont="1"/>
    <xf numFmtId="0" fontId="4" fillId="0" borderId="0" xfId="0" applyFont="1" applyAlignment="1">
      <alignment horizontal="left" vertical="top" wrapText="1"/>
    </xf>
    <xf numFmtId="0" fontId="0" fillId="0" borderId="0" xfId="0" applyAlignment="1">
      <alignment horizontal="left" vertical="top" wrapText="1"/>
    </xf>
    <xf numFmtId="0" fontId="5" fillId="0" borderId="0" xfId="0" applyFont="1" applyAlignment="1">
      <alignment horizontal="left" vertical="top" wrapText="1"/>
    </xf>
    <xf numFmtId="0" fontId="6" fillId="2" borderId="1" xfId="0" applyFont="1" applyFill="1" applyBorder="1" applyAlignment="1">
      <alignment horizontal="center" vertical="center" wrapText="1"/>
    </xf>
    <xf numFmtId="0" fontId="3" fillId="0" borderId="1" xfId="0" applyFont="1" applyBorder="1" applyAlignment="1">
      <alignment horizontal="center" vertical="center" wrapText="1"/>
    </xf>
    <xf numFmtId="0" fontId="5" fillId="3" borderId="1" xfId="0" applyFont="1" applyFill="1" applyBorder="1" applyAlignment="1">
      <alignment horizontal="center" vertical="center" wrapText="1"/>
    </xf>
    <xf numFmtId="0" fontId="3" fillId="0" borderId="1" xfId="0" applyFont="1" applyBorder="1" applyAlignment="1">
      <alignment horizontal="left" vertical="top" wrapText="1"/>
    </xf>
    <xf numFmtId="2" fontId="3" fillId="0" borderId="1" xfId="0" applyNumberFormat="1" applyFont="1" applyBorder="1" applyAlignment="1">
      <alignment horizontal="center" vertical="center" wrapText="1"/>
    </xf>
    <xf numFmtId="164" fontId="3" fillId="0" borderId="1" xfId="0" applyNumberFormat="1" applyFont="1" applyBorder="1" applyAlignment="1">
      <alignment horizontal="center" vertical="center" wrapText="1"/>
    </xf>
    <xf numFmtId="0" fontId="3" fillId="3" borderId="1" xfId="0" applyFont="1" applyFill="1" applyBorder="1" applyAlignment="1">
      <alignment horizontal="center" vertical="center" wrapText="1"/>
    </xf>
    <xf numFmtId="2" fontId="3" fillId="3" borderId="1" xfId="0" applyNumberFormat="1" applyFont="1" applyFill="1" applyBorder="1" applyAlignment="1">
      <alignment horizontal="center" vertical="center" wrapText="1"/>
    </xf>
    <xf numFmtId="165" fontId="3" fillId="0" borderId="1" xfId="0" applyNumberFormat="1" applyFont="1" applyBorder="1" applyAlignment="1">
      <alignment horizontal="center" vertical="center" wrapText="1"/>
    </xf>
    <xf numFmtId="165" fontId="5" fillId="3" borderId="1" xfId="0" applyNumberFormat="1" applyFont="1" applyFill="1" applyBorder="1" applyAlignment="1">
      <alignment horizontal="center" vertical="center" wrapText="1"/>
    </xf>
    <xf numFmtId="0" fontId="5" fillId="0" borderId="1" xfId="0" applyFont="1" applyBorder="1" applyAlignment="1">
      <alignment horizontal="left" vertical="top" wrapText="1"/>
    </xf>
    <xf numFmtId="0" fontId="3" fillId="0" borderId="1" xfId="0" applyFont="1" applyBorder="1" applyAlignment="1">
      <alignment horizontal="left" vertical="center"/>
    </xf>
    <xf numFmtId="2" fontId="5" fillId="3" borderId="1" xfId="0" applyNumberFormat="1" applyFont="1" applyFill="1" applyBorder="1" applyAlignment="1">
      <alignment horizontal="center" vertical="center" wrapText="1"/>
    </xf>
    <xf numFmtId="0" fontId="3" fillId="4" borderId="0" xfId="0" applyFont="1" applyFill="1" applyAlignment="1">
      <alignment horizontal="left" vertical="top" wrapText="1"/>
    </xf>
    <xf numFmtId="0" fontId="3" fillId="0" borderId="0" xfId="0" applyFont="1" applyAlignment="1">
      <alignment horizontal="left" vertical="top" wrapText="1"/>
    </xf>
    <xf numFmtId="0" fontId="1" fillId="0" borderId="0" xfId="0" applyFont="1" applyAlignment="1"/>
    <xf numFmtId="0" fontId="2" fillId="0" borderId="0" xfId="0" applyFont="1" applyAlignment="1"/>
    <xf numFmtId="0" fontId="7" fillId="0" borderId="0" xfId="0" applyFont="1" applyAlignment="1"/>
    <xf numFmtId="0" fontId="5" fillId="0" borderId="0" xfId="0" applyFont="1" applyAlignment="1"/>
  </cellXfs>
  <cellStyles count="1">
    <cellStyle name="Normal" xfId="0" builtinId="0"/>
  </cellStyles>
  <dxfs count="0"/>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993366"/>
      <rgbColor rgb="FFFFF2CC"/>
      <rgbColor rgb="FFCCFFFF"/>
      <rgbColor rgb="FF660066"/>
      <rgbColor rgb="FFFF8080"/>
      <rgbColor rgb="FF0066CC"/>
      <rgbColor rgb="FFD9E1F2"/>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555555"/>
      <rgbColor rgb="FF999999"/>
      <rgbColor rgb="FF1F3864"/>
      <rgbColor rgb="FF339966"/>
      <rgbColor rgb="FF003300"/>
      <rgbColor rgb="FF333300"/>
      <rgbColor rgb="FF993300"/>
      <rgbColor rgb="FF993366"/>
      <rgbColor rgb="FF333399"/>
      <rgbColor rgb="FF333333"/>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alcChain" Target="calcChain.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theme/theme1.xml><?xml version="1.0" encoding="utf-8"?>
<a:theme xmlns:a="http://schemas.openxmlformats.org/drawingml/2006/main"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a:gradFill>
        <a:gradFill>
          <a:gsLst>
            <a:gs pos="0">
              <a:schemeClr val="phClr">
                <a:shade val="51000"/>
              </a:schemeClr>
            </a:gs>
            <a:gs pos="80000">
              <a:schemeClr val="phClr">
                <a:shade val="93000"/>
              </a:schemeClr>
            </a:gs>
            <a:gs pos="100000">
              <a:schemeClr val="phClr">
                <a:shade val="94000"/>
              </a:schemeClr>
            </a:gs>
          </a:gsLst>
          <a:lin ang="16200000" scaled="0"/>
          <a:tileRect/>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a:gradFill>
        <a:gradFill>
          <a:gsLst>
            <a:gs pos="0">
              <a:schemeClr val="phClr">
                <a:tint val="80000"/>
              </a:schemeClr>
            </a:gs>
            <a:gs pos="100000">
              <a:schemeClr val="phClr">
                <a:shade val="30000"/>
              </a:schemeClr>
            </a:gs>
          </a:gsLst>
          <a:path path="circle">
            <a:fillToRect l="50000" t="50000" r="50000" b="50000"/>
          </a:path>
          <a:tileRect/>
        </a:gradFill>
      </a:bgFillStyleLst>
    </a:fmtScheme>
  </a:themeElements>
  <a:objectDefaults/>
  <a:extraClrSchemeLst/>
</a:theme>
</file>

<file path=xl/worksheets/_rels/sheet3.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31"/>
  <sheetViews>
    <sheetView tabSelected="1" zoomScaleNormal="100" workbookViewId="0"/>
  </sheetViews>
  <sheetFormatPr defaultColWidth="8.5703125" defaultRowHeight="14.45"/>
  <cols>
    <col min="1" max="1" width="30" customWidth="1"/>
    <col min="2" max="2" width="95" customWidth="1"/>
  </cols>
  <sheetData>
    <row r="1" spans="1:2" ht="18">
      <c r="A1" s="4" t="s">
        <v>0</v>
      </c>
    </row>
    <row r="2" spans="1:2">
      <c r="A2" s="3" t="s">
        <v>1</v>
      </c>
    </row>
    <row r="3" spans="1:2">
      <c r="A3" s="1"/>
      <c r="B3" s="1"/>
    </row>
    <row r="4" spans="1:2">
      <c r="A4" s="5" t="s">
        <v>2</v>
      </c>
      <c r="B4" s="6"/>
    </row>
    <row r="5" spans="1:2" ht="224.1">
      <c r="A5" s="5" t="s">
        <v>3</v>
      </c>
      <c r="B5" s="6"/>
    </row>
    <row r="6" spans="1:2">
      <c r="A6" s="1"/>
      <c r="B6" s="1"/>
    </row>
    <row r="7" spans="1:2" ht="27.95">
      <c r="A7" s="5" t="s">
        <v>4</v>
      </c>
      <c r="B7" s="6"/>
    </row>
    <row r="8" spans="1:2" ht="24.95">
      <c r="A8" s="7" t="s">
        <v>5</v>
      </c>
      <c r="B8" s="1" t="s">
        <v>6</v>
      </c>
    </row>
    <row r="9" spans="1:2" ht="24.95">
      <c r="A9" s="7" t="s">
        <v>7</v>
      </c>
      <c r="B9" s="1" t="s">
        <v>8</v>
      </c>
    </row>
    <row r="10" spans="1:2" ht="24.95">
      <c r="A10" s="7" t="s">
        <v>9</v>
      </c>
      <c r="B10" s="1" t="s">
        <v>10</v>
      </c>
    </row>
    <row r="11" spans="1:2">
      <c r="A11" s="1"/>
      <c r="B11" s="1"/>
    </row>
    <row r="12" spans="1:2" ht="27.95">
      <c r="A12" s="5" t="s">
        <v>11</v>
      </c>
      <c r="B12" s="6"/>
    </row>
    <row r="13" spans="1:2">
      <c r="A13" s="7" t="s">
        <v>12</v>
      </c>
      <c r="B13" s="1" t="s">
        <v>13</v>
      </c>
    </row>
    <row r="14" spans="1:2">
      <c r="A14" s="7" t="s">
        <v>14</v>
      </c>
      <c r="B14" s="1" t="s">
        <v>15</v>
      </c>
    </row>
    <row r="15" spans="1:2">
      <c r="A15" s="7" t="s">
        <v>16</v>
      </c>
      <c r="B15" s="1" t="s">
        <v>17</v>
      </c>
    </row>
    <row r="16" spans="1:2">
      <c r="A16" s="7" t="s">
        <v>18</v>
      </c>
      <c r="B16" s="1" t="s">
        <v>19</v>
      </c>
    </row>
    <row r="17" spans="1:2" ht="37.5">
      <c r="A17" s="7" t="s">
        <v>20</v>
      </c>
      <c r="B17" s="1" t="s">
        <v>21</v>
      </c>
    </row>
    <row r="18" spans="1:2">
      <c r="A18" s="1"/>
      <c r="B18" s="1"/>
    </row>
    <row r="19" spans="1:2" ht="27.95">
      <c r="A19" s="5" t="s">
        <v>22</v>
      </c>
      <c r="B19" s="6"/>
    </row>
    <row r="20" spans="1:2" ht="24.95">
      <c r="A20" s="7" t="s">
        <v>23</v>
      </c>
      <c r="B20" s="1" t="s">
        <v>24</v>
      </c>
    </row>
    <row r="21" spans="1:2" ht="24.95">
      <c r="A21" s="7" t="s">
        <v>25</v>
      </c>
      <c r="B21" s="1" t="s">
        <v>26</v>
      </c>
    </row>
    <row r="22" spans="1:2" ht="50.1">
      <c r="A22" s="7" t="s">
        <v>27</v>
      </c>
      <c r="B22" s="1" t="s">
        <v>28</v>
      </c>
    </row>
    <row r="23" spans="1:2" ht="24.95">
      <c r="A23" s="7" t="s">
        <v>29</v>
      </c>
      <c r="B23" s="1" t="s">
        <v>30</v>
      </c>
    </row>
    <row r="24" spans="1:2">
      <c r="A24" s="1"/>
      <c r="B24" s="1"/>
    </row>
    <row r="25" spans="1:2" ht="27.95">
      <c r="A25" s="5" t="s">
        <v>31</v>
      </c>
      <c r="B25" s="6"/>
    </row>
    <row r="26" spans="1:2" ht="62.45">
      <c r="A26" s="7" t="s">
        <v>32</v>
      </c>
      <c r="B26" s="1" t="s">
        <v>33</v>
      </c>
    </row>
    <row r="27" spans="1:2" ht="50.1">
      <c r="A27" s="7" t="s">
        <v>34</v>
      </c>
      <c r="B27" s="1" t="s">
        <v>35</v>
      </c>
    </row>
    <row r="28" spans="1:2" ht="50.1">
      <c r="A28" s="7" t="s">
        <v>36</v>
      </c>
      <c r="B28" s="1" t="s">
        <v>37</v>
      </c>
    </row>
    <row r="29" spans="1:2">
      <c r="A29" s="1"/>
      <c r="B29" s="1"/>
    </row>
    <row r="30" spans="1:2">
      <c r="A30" s="5" t="s">
        <v>38</v>
      </c>
      <c r="B30" s="6"/>
    </row>
    <row r="31" spans="1:2" ht="24.95">
      <c r="A31" s="7" t="s">
        <v>39</v>
      </c>
      <c r="B31" s="1" t="s">
        <v>40</v>
      </c>
    </row>
  </sheetData>
  <pageMargins left="0.75" right="0.75" top="1" bottom="1" header="0.511811023622047" footer="0.511811023622047"/>
  <pageSetup paperSize="9" orientation="portrait" horizontalDpi="300" verticalDpi="30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F23"/>
  <sheetViews>
    <sheetView zoomScaleNormal="100" workbookViewId="0"/>
  </sheetViews>
  <sheetFormatPr defaultColWidth="8.5703125" defaultRowHeight="14.45"/>
  <cols>
    <col min="1" max="1" width="18" customWidth="1"/>
    <col min="2" max="4" width="25" customWidth="1"/>
    <col min="5" max="5" width="15" customWidth="1"/>
  </cols>
  <sheetData>
    <row r="1" spans="1:6" ht="18">
      <c r="A1" s="23" t="s">
        <v>41</v>
      </c>
      <c r="B1" s="23"/>
      <c r="C1" s="23"/>
      <c r="D1" s="23"/>
      <c r="E1" s="23"/>
      <c r="F1" s="23"/>
    </row>
    <row r="2" spans="1:6">
      <c r="A2" s="24" t="s">
        <v>42</v>
      </c>
      <c r="B2" s="24"/>
      <c r="C2" s="24"/>
      <c r="D2" s="24"/>
      <c r="E2" s="24"/>
      <c r="F2" s="24"/>
    </row>
    <row r="4" spans="1:6">
      <c r="A4" s="2" t="s">
        <v>43</v>
      </c>
    </row>
    <row r="5" spans="1:6">
      <c r="A5" s="8" t="s">
        <v>44</v>
      </c>
      <c r="B5" s="8" t="s">
        <v>45</v>
      </c>
      <c r="C5" s="8" t="s">
        <v>46</v>
      </c>
      <c r="D5" s="8" t="s">
        <v>47</v>
      </c>
      <c r="E5" s="8" t="s">
        <v>48</v>
      </c>
    </row>
    <row r="6" spans="1:6">
      <c r="A6" s="9" t="s">
        <v>49</v>
      </c>
      <c r="B6" s="9">
        <v>183</v>
      </c>
      <c r="C6" s="9">
        <v>2.3462000000000001</v>
      </c>
      <c r="D6" s="9">
        <v>0.66110000000000002</v>
      </c>
      <c r="E6" s="9">
        <v>0.28179999999999999</v>
      </c>
    </row>
    <row r="7" spans="1:6">
      <c r="A7" s="9" t="s">
        <v>50</v>
      </c>
      <c r="B7" s="9">
        <v>187</v>
      </c>
      <c r="C7" s="9">
        <v>2.3974000000000002</v>
      </c>
      <c r="D7" s="9">
        <v>0.98480000000000001</v>
      </c>
      <c r="E7" s="9">
        <v>0.4108</v>
      </c>
    </row>
    <row r="8" spans="1:6">
      <c r="A8" s="9" t="s">
        <v>51</v>
      </c>
      <c r="B8" s="9">
        <v>250</v>
      </c>
      <c r="C8" s="9">
        <v>3.2050999999999998</v>
      </c>
      <c r="D8" s="9">
        <v>0.99819999999999998</v>
      </c>
      <c r="E8" s="9">
        <v>0.31140000000000001</v>
      </c>
    </row>
    <row r="9" spans="1:6">
      <c r="A9" s="9" t="s">
        <v>52</v>
      </c>
      <c r="B9" s="9">
        <v>131</v>
      </c>
      <c r="C9" s="9">
        <v>1.6795</v>
      </c>
      <c r="D9" s="9">
        <v>1.1787000000000001</v>
      </c>
      <c r="E9" s="9">
        <v>0.70179999999999998</v>
      </c>
    </row>
    <row r="12" spans="1:6">
      <c r="A12" s="2" t="s">
        <v>53</v>
      </c>
    </row>
    <row r="13" spans="1:6">
      <c r="A13" s="2" t="s">
        <v>54</v>
      </c>
      <c r="B13" s="25" t="s">
        <v>55</v>
      </c>
      <c r="C13" s="25"/>
      <c r="D13" s="25"/>
      <c r="E13" s="25"/>
    </row>
    <row r="15" spans="1:6">
      <c r="A15" s="8" t="s">
        <v>44</v>
      </c>
      <c r="B15" s="8" t="s">
        <v>56</v>
      </c>
      <c r="C15" s="8" t="s">
        <v>57</v>
      </c>
      <c r="D15" s="8" t="s">
        <v>58</v>
      </c>
      <c r="E15" s="8" t="s">
        <v>59</v>
      </c>
    </row>
    <row r="16" spans="1:6">
      <c r="A16" s="9" t="s">
        <v>49</v>
      </c>
      <c r="B16" s="9">
        <v>0.99042600000000003</v>
      </c>
      <c r="C16" s="9">
        <v>9.5739999999999992E-3</v>
      </c>
      <c r="D16" s="9">
        <v>0.11454</v>
      </c>
      <c r="E16" s="9" t="s">
        <v>60</v>
      </c>
    </row>
    <row r="17" spans="1:5">
      <c r="A17" s="9" t="s">
        <v>50</v>
      </c>
      <c r="B17" s="9">
        <v>0.98116300000000001</v>
      </c>
      <c r="C17" s="9">
        <v>1.8837E-2</v>
      </c>
      <c r="D17" s="9">
        <v>0.22536200000000001</v>
      </c>
      <c r="E17" s="9" t="s">
        <v>61</v>
      </c>
    </row>
    <row r="18" spans="1:5">
      <c r="A18" s="9" t="s">
        <v>51</v>
      </c>
      <c r="B18" s="9">
        <v>0.98941400000000002</v>
      </c>
      <c r="C18" s="9">
        <v>1.0586E-2</v>
      </c>
      <c r="D18" s="9">
        <v>0.12665599999999999</v>
      </c>
      <c r="E18" s="9" t="s">
        <v>62</v>
      </c>
    </row>
    <row r="19" spans="1:5">
      <c r="A19" s="9" t="s">
        <v>52</v>
      </c>
      <c r="B19" s="9">
        <v>0.95541299999999996</v>
      </c>
      <c r="C19" s="9">
        <v>4.4587000000000002E-2</v>
      </c>
      <c r="D19" s="9">
        <v>0.53344199999999997</v>
      </c>
      <c r="E19" s="9" t="s">
        <v>63</v>
      </c>
    </row>
    <row r="20" spans="1:5">
      <c r="A20" s="10" t="s">
        <v>64</v>
      </c>
      <c r="C20" s="10">
        <v>8.3584000000000006E-2</v>
      </c>
      <c r="D20" s="10">
        <v>1</v>
      </c>
      <c r="E20" s="10" t="s">
        <v>65</v>
      </c>
    </row>
    <row r="22" spans="1:5">
      <c r="A22" s="2" t="s">
        <v>20</v>
      </c>
    </row>
    <row r="23" spans="1:5" ht="90" customHeight="1">
      <c r="A23" s="21" t="s">
        <v>66</v>
      </c>
      <c r="B23" s="21"/>
      <c r="C23" s="21"/>
      <c r="D23" s="21"/>
      <c r="E23" s="21"/>
    </row>
  </sheetData>
  <mergeCells count="4">
    <mergeCell ref="A1:F1"/>
    <mergeCell ref="A2:F2"/>
    <mergeCell ref="B13:E13"/>
    <mergeCell ref="A23:E23"/>
  </mergeCells>
  <pageMargins left="0.75" right="0.75" top="1" bottom="1" header="0.511811023622047" footer="0.511811023622047"/>
  <pageSetup paperSize="9" orientation="portrait" horizontalDpi="300" verticalDpi="300"/>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N85"/>
  <sheetViews>
    <sheetView zoomScaleNormal="100" workbookViewId="0">
      <pane xSplit="5" ySplit="1" topLeftCell="F2" activePane="bottomRight" state="frozen"/>
      <selection pane="bottomRight"/>
      <selection pane="bottomLeft" activeCell="A2" sqref="A2"/>
      <selection pane="topRight" activeCell="F1" sqref="F1"/>
    </sheetView>
  </sheetViews>
  <sheetFormatPr defaultColWidth="8.5703125" defaultRowHeight="14.45"/>
  <cols>
    <col min="1" max="1" width="6" customWidth="1"/>
    <col min="2" max="2" width="50" customWidth="1"/>
    <col min="3" max="3" width="8" customWidth="1"/>
    <col min="4" max="4" width="22" customWidth="1"/>
    <col min="5" max="5" width="13" customWidth="1"/>
    <col min="6" max="9" width="6" customWidth="1"/>
    <col min="10" max="10" width="18" customWidth="1"/>
    <col min="11" max="11" width="14" customWidth="1"/>
    <col min="12" max="12" width="16" customWidth="1"/>
    <col min="13" max="13" width="14" customWidth="1"/>
    <col min="14" max="14" width="16" customWidth="1"/>
  </cols>
  <sheetData>
    <row r="1" spans="1:14" ht="27.95">
      <c r="A1" s="8" t="s">
        <v>67</v>
      </c>
      <c r="B1" s="8" t="s">
        <v>68</v>
      </c>
      <c r="C1" s="8" t="s">
        <v>69</v>
      </c>
      <c r="D1" s="8" t="s">
        <v>70</v>
      </c>
      <c r="E1" s="8" t="s">
        <v>71</v>
      </c>
      <c r="F1" s="8" t="s">
        <v>49</v>
      </c>
      <c r="G1" s="8" t="s">
        <v>50</v>
      </c>
      <c r="H1" s="8" t="s">
        <v>51</v>
      </c>
      <c r="I1" s="8" t="s">
        <v>52</v>
      </c>
      <c r="J1" s="8" t="s">
        <v>5</v>
      </c>
      <c r="K1" s="8" t="s">
        <v>72</v>
      </c>
      <c r="L1" s="8" t="s">
        <v>73</v>
      </c>
      <c r="M1" s="8" t="s">
        <v>74</v>
      </c>
      <c r="N1" s="8" t="s">
        <v>75</v>
      </c>
    </row>
    <row r="2" spans="1:14" ht="24.95">
      <c r="A2" s="9">
        <v>1</v>
      </c>
      <c r="B2" s="11" t="s">
        <v>76</v>
      </c>
      <c r="C2" s="9" t="s">
        <v>77</v>
      </c>
      <c r="D2" s="11" t="s">
        <v>78</v>
      </c>
      <c r="E2" s="9" t="s">
        <v>79</v>
      </c>
      <c r="F2" s="9">
        <v>3</v>
      </c>
      <c r="G2" s="9">
        <v>2</v>
      </c>
      <c r="H2" s="9">
        <v>3</v>
      </c>
      <c r="I2" s="9">
        <v>4</v>
      </c>
      <c r="J2" s="9">
        <f t="shared" ref="J2:J33" si="0">MIN(F2:I2)</f>
        <v>2</v>
      </c>
      <c r="K2" s="12">
        <f t="shared" ref="K2:K33" si="1">AVERAGE(F2:I2)</f>
        <v>3</v>
      </c>
      <c r="L2" s="12">
        <f t="shared" ref="L2:L33" si="2">F2*0.114539922763712+G2*0.225362326598098+H2*0.126656011223167+I2*0.533441739415022</f>
        <v>3.3080794128169213</v>
      </c>
      <c r="M2" s="13">
        <f t="shared" ref="M2:M33" si="3">K2-J2</f>
        <v>1</v>
      </c>
      <c r="N2" s="13">
        <f t="shared" ref="N2:N33" si="4">L2-J2</f>
        <v>1.3080794128169213</v>
      </c>
    </row>
    <row r="3" spans="1:14">
      <c r="A3" s="9">
        <v>2</v>
      </c>
      <c r="B3" s="11" t="s">
        <v>80</v>
      </c>
      <c r="C3" s="9" t="s">
        <v>77</v>
      </c>
      <c r="D3" s="11" t="s">
        <v>78</v>
      </c>
      <c r="E3" s="9" t="s">
        <v>79</v>
      </c>
      <c r="F3" s="9">
        <v>3</v>
      </c>
      <c r="G3" s="9">
        <v>2</v>
      </c>
      <c r="H3" s="9">
        <v>3</v>
      </c>
      <c r="I3" s="9">
        <v>4</v>
      </c>
      <c r="J3" s="9">
        <f t="shared" si="0"/>
        <v>2</v>
      </c>
      <c r="K3" s="12">
        <f t="shared" si="1"/>
        <v>3</v>
      </c>
      <c r="L3" s="12">
        <f t="shared" si="2"/>
        <v>3.3080794128169213</v>
      </c>
      <c r="M3" s="13">
        <f t="shared" si="3"/>
        <v>1</v>
      </c>
      <c r="N3" s="13">
        <f t="shared" si="4"/>
        <v>1.3080794128169213</v>
      </c>
    </row>
    <row r="4" spans="1:14" ht="24.95">
      <c r="A4" s="9">
        <v>3</v>
      </c>
      <c r="B4" s="11" t="s">
        <v>81</v>
      </c>
      <c r="C4" s="9" t="s">
        <v>77</v>
      </c>
      <c r="D4" s="11" t="s">
        <v>78</v>
      </c>
      <c r="E4" s="9" t="s">
        <v>82</v>
      </c>
      <c r="F4" s="9">
        <v>4</v>
      </c>
      <c r="G4" s="9">
        <v>3</v>
      </c>
      <c r="H4" s="9">
        <v>3</v>
      </c>
      <c r="I4" s="9">
        <v>5</v>
      </c>
      <c r="J4" s="9">
        <f t="shared" si="0"/>
        <v>3</v>
      </c>
      <c r="K4" s="12">
        <f t="shared" si="1"/>
        <v>3.75</v>
      </c>
      <c r="L4" s="12">
        <f t="shared" si="2"/>
        <v>4.1814234015937535</v>
      </c>
      <c r="M4" s="13">
        <f t="shared" si="3"/>
        <v>0.75</v>
      </c>
      <c r="N4" s="13">
        <f t="shared" si="4"/>
        <v>1.1814234015937535</v>
      </c>
    </row>
    <row r="5" spans="1:14" ht="24.95">
      <c r="A5" s="9">
        <v>4</v>
      </c>
      <c r="B5" s="11" t="s">
        <v>83</v>
      </c>
      <c r="C5" s="9" t="s">
        <v>77</v>
      </c>
      <c r="D5" s="11" t="s">
        <v>84</v>
      </c>
      <c r="E5" s="9" t="s">
        <v>82</v>
      </c>
      <c r="F5" s="9">
        <v>3</v>
      </c>
      <c r="G5" s="9">
        <v>2</v>
      </c>
      <c r="H5" s="9">
        <v>3</v>
      </c>
      <c r="I5" s="9">
        <v>4</v>
      </c>
      <c r="J5" s="9">
        <f t="shared" si="0"/>
        <v>2</v>
      </c>
      <c r="K5" s="12">
        <f t="shared" si="1"/>
        <v>3</v>
      </c>
      <c r="L5" s="12">
        <f t="shared" si="2"/>
        <v>3.3080794128169213</v>
      </c>
      <c r="M5" s="13">
        <f t="shared" si="3"/>
        <v>1</v>
      </c>
      <c r="N5" s="13">
        <f t="shared" si="4"/>
        <v>1.3080794128169213</v>
      </c>
    </row>
    <row r="6" spans="1:14">
      <c r="A6" s="9">
        <v>5</v>
      </c>
      <c r="B6" s="11" t="s">
        <v>85</v>
      </c>
      <c r="C6" s="9" t="s">
        <v>77</v>
      </c>
      <c r="D6" s="11" t="s">
        <v>86</v>
      </c>
      <c r="E6" s="9" t="s">
        <v>82</v>
      </c>
      <c r="F6" s="9">
        <v>3</v>
      </c>
      <c r="G6" s="9">
        <v>3</v>
      </c>
      <c r="H6" s="9">
        <v>4</v>
      </c>
      <c r="I6" s="9">
        <v>1</v>
      </c>
      <c r="J6" s="9">
        <f t="shared" si="0"/>
        <v>1</v>
      </c>
      <c r="K6" s="12">
        <f t="shared" si="1"/>
        <v>2.75</v>
      </c>
      <c r="L6" s="12">
        <f t="shared" si="2"/>
        <v>2.05977253239312</v>
      </c>
      <c r="M6" s="13">
        <f t="shared" si="3"/>
        <v>1.75</v>
      </c>
      <c r="N6" s="13">
        <f t="shared" si="4"/>
        <v>1.05977253239312</v>
      </c>
    </row>
    <row r="7" spans="1:14">
      <c r="A7" s="9">
        <v>6</v>
      </c>
      <c r="B7" s="11" t="s">
        <v>87</v>
      </c>
      <c r="C7" s="9" t="s">
        <v>77</v>
      </c>
      <c r="D7" s="11" t="s">
        <v>86</v>
      </c>
      <c r="E7" s="9" t="s">
        <v>82</v>
      </c>
      <c r="F7" s="9">
        <v>3</v>
      </c>
      <c r="G7" s="9">
        <v>3</v>
      </c>
      <c r="H7" s="9">
        <v>4</v>
      </c>
      <c r="I7" s="9">
        <v>1</v>
      </c>
      <c r="J7" s="9">
        <f t="shared" si="0"/>
        <v>1</v>
      </c>
      <c r="K7" s="12">
        <f t="shared" si="1"/>
        <v>2.75</v>
      </c>
      <c r="L7" s="12">
        <f t="shared" si="2"/>
        <v>2.05977253239312</v>
      </c>
      <c r="M7" s="13">
        <f t="shared" si="3"/>
        <v>1.75</v>
      </c>
      <c r="N7" s="13">
        <f t="shared" si="4"/>
        <v>1.05977253239312</v>
      </c>
    </row>
    <row r="8" spans="1:14">
      <c r="A8" s="9">
        <v>7</v>
      </c>
      <c r="B8" s="11" t="s">
        <v>88</v>
      </c>
      <c r="C8" s="9" t="s">
        <v>77</v>
      </c>
      <c r="D8" s="11" t="s">
        <v>86</v>
      </c>
      <c r="E8" s="9" t="s">
        <v>89</v>
      </c>
      <c r="F8" s="9">
        <v>3</v>
      </c>
      <c r="G8" s="9">
        <v>3</v>
      </c>
      <c r="H8" s="9">
        <v>4</v>
      </c>
      <c r="I8" s="9">
        <v>1</v>
      </c>
      <c r="J8" s="9">
        <f t="shared" si="0"/>
        <v>1</v>
      </c>
      <c r="K8" s="12">
        <f t="shared" si="1"/>
        <v>2.75</v>
      </c>
      <c r="L8" s="12">
        <f t="shared" si="2"/>
        <v>2.05977253239312</v>
      </c>
      <c r="M8" s="13">
        <f t="shared" si="3"/>
        <v>1.75</v>
      </c>
      <c r="N8" s="13">
        <f t="shared" si="4"/>
        <v>1.05977253239312</v>
      </c>
    </row>
    <row r="9" spans="1:14" ht="24.95">
      <c r="A9" s="9">
        <v>8</v>
      </c>
      <c r="B9" s="11" t="s">
        <v>90</v>
      </c>
      <c r="C9" s="9" t="s">
        <v>77</v>
      </c>
      <c r="D9" s="11" t="s">
        <v>91</v>
      </c>
      <c r="E9" s="9" t="s">
        <v>79</v>
      </c>
      <c r="F9" s="9">
        <v>3</v>
      </c>
      <c r="G9" s="9">
        <v>4</v>
      </c>
      <c r="H9" s="9">
        <v>5</v>
      </c>
      <c r="I9" s="9">
        <v>1</v>
      </c>
      <c r="J9" s="9">
        <f t="shared" si="0"/>
        <v>1</v>
      </c>
      <c r="K9" s="12">
        <f t="shared" si="1"/>
        <v>3.25</v>
      </c>
      <c r="L9" s="12">
        <f t="shared" si="2"/>
        <v>2.4117908702143849</v>
      </c>
      <c r="M9" s="13">
        <f t="shared" si="3"/>
        <v>2.25</v>
      </c>
      <c r="N9" s="13">
        <f t="shared" si="4"/>
        <v>1.4117908702143849</v>
      </c>
    </row>
    <row r="10" spans="1:14" ht="24.95">
      <c r="A10" s="9">
        <v>9</v>
      </c>
      <c r="B10" s="11" t="s">
        <v>92</v>
      </c>
      <c r="C10" s="9" t="s">
        <v>77</v>
      </c>
      <c r="D10" s="11" t="s">
        <v>91</v>
      </c>
      <c r="E10" s="9" t="s">
        <v>79</v>
      </c>
      <c r="F10" s="9">
        <v>3</v>
      </c>
      <c r="G10" s="9">
        <v>4</v>
      </c>
      <c r="H10" s="9">
        <v>5</v>
      </c>
      <c r="I10" s="9">
        <v>1</v>
      </c>
      <c r="J10" s="9">
        <f t="shared" si="0"/>
        <v>1</v>
      </c>
      <c r="K10" s="12">
        <f t="shared" si="1"/>
        <v>3.25</v>
      </c>
      <c r="L10" s="12">
        <f t="shared" si="2"/>
        <v>2.4117908702143849</v>
      </c>
      <c r="M10" s="13">
        <f t="shared" si="3"/>
        <v>2.25</v>
      </c>
      <c r="N10" s="13">
        <f t="shared" si="4"/>
        <v>1.4117908702143849</v>
      </c>
    </row>
    <row r="11" spans="1:14" ht="24.95">
      <c r="A11" s="9">
        <v>10</v>
      </c>
      <c r="B11" s="11" t="s">
        <v>93</v>
      </c>
      <c r="C11" s="9" t="s">
        <v>77</v>
      </c>
      <c r="D11" s="11" t="s">
        <v>91</v>
      </c>
      <c r="E11" s="9" t="s">
        <v>89</v>
      </c>
      <c r="F11" s="9">
        <v>3</v>
      </c>
      <c r="G11" s="9">
        <v>4</v>
      </c>
      <c r="H11" s="9">
        <v>5</v>
      </c>
      <c r="I11" s="9">
        <v>1</v>
      </c>
      <c r="J11" s="9">
        <f t="shared" si="0"/>
        <v>1</v>
      </c>
      <c r="K11" s="12">
        <f t="shared" si="1"/>
        <v>3.25</v>
      </c>
      <c r="L11" s="12">
        <f t="shared" si="2"/>
        <v>2.4117908702143849</v>
      </c>
      <c r="M11" s="13">
        <f t="shared" si="3"/>
        <v>2.25</v>
      </c>
      <c r="N11" s="13">
        <f t="shared" si="4"/>
        <v>1.4117908702143849</v>
      </c>
    </row>
    <row r="12" spans="1:14">
      <c r="A12" s="9">
        <v>11</v>
      </c>
      <c r="B12" s="11" t="s">
        <v>94</v>
      </c>
      <c r="C12" s="9" t="s">
        <v>77</v>
      </c>
      <c r="D12" s="11" t="s">
        <v>91</v>
      </c>
      <c r="E12" s="9" t="s">
        <v>89</v>
      </c>
      <c r="F12" s="9">
        <v>3</v>
      </c>
      <c r="G12" s="9">
        <v>4</v>
      </c>
      <c r="H12" s="9">
        <v>5</v>
      </c>
      <c r="I12" s="9">
        <v>1</v>
      </c>
      <c r="J12" s="9">
        <f t="shared" si="0"/>
        <v>1</v>
      </c>
      <c r="K12" s="12">
        <f t="shared" si="1"/>
        <v>3.25</v>
      </c>
      <c r="L12" s="12">
        <f t="shared" si="2"/>
        <v>2.4117908702143849</v>
      </c>
      <c r="M12" s="13">
        <f t="shared" si="3"/>
        <v>2.25</v>
      </c>
      <c r="N12" s="13">
        <f t="shared" si="4"/>
        <v>1.4117908702143849</v>
      </c>
    </row>
    <row r="13" spans="1:14">
      <c r="A13" s="9">
        <v>12</v>
      </c>
      <c r="B13" s="11" t="s">
        <v>95</v>
      </c>
      <c r="C13" s="9" t="s">
        <v>77</v>
      </c>
      <c r="D13" s="11" t="s">
        <v>91</v>
      </c>
      <c r="E13" s="9" t="s">
        <v>89</v>
      </c>
      <c r="F13" s="9">
        <v>3</v>
      </c>
      <c r="G13" s="9">
        <v>4</v>
      </c>
      <c r="H13" s="9">
        <v>5</v>
      </c>
      <c r="I13" s="9">
        <v>1</v>
      </c>
      <c r="J13" s="9">
        <f t="shared" si="0"/>
        <v>1</v>
      </c>
      <c r="K13" s="12">
        <f t="shared" si="1"/>
        <v>3.25</v>
      </c>
      <c r="L13" s="12">
        <f t="shared" si="2"/>
        <v>2.4117908702143849</v>
      </c>
      <c r="M13" s="13">
        <f t="shared" si="3"/>
        <v>2.25</v>
      </c>
      <c r="N13" s="13">
        <f t="shared" si="4"/>
        <v>1.4117908702143849</v>
      </c>
    </row>
    <row r="14" spans="1:14" ht="24.95">
      <c r="A14" s="9">
        <v>13</v>
      </c>
      <c r="B14" s="11" t="s">
        <v>96</v>
      </c>
      <c r="C14" s="9" t="s">
        <v>77</v>
      </c>
      <c r="D14" s="11" t="s">
        <v>91</v>
      </c>
      <c r="E14" s="9" t="s">
        <v>89</v>
      </c>
      <c r="F14" s="9">
        <v>3</v>
      </c>
      <c r="G14" s="9">
        <v>4</v>
      </c>
      <c r="H14" s="9">
        <v>5</v>
      </c>
      <c r="I14" s="9">
        <v>1</v>
      </c>
      <c r="J14" s="9">
        <f t="shared" si="0"/>
        <v>1</v>
      </c>
      <c r="K14" s="12">
        <f t="shared" si="1"/>
        <v>3.25</v>
      </c>
      <c r="L14" s="12">
        <f t="shared" si="2"/>
        <v>2.4117908702143849</v>
      </c>
      <c r="M14" s="13">
        <f t="shared" si="3"/>
        <v>2.25</v>
      </c>
      <c r="N14" s="13">
        <f t="shared" si="4"/>
        <v>1.4117908702143849</v>
      </c>
    </row>
    <row r="15" spans="1:14" ht="24.95">
      <c r="A15" s="9">
        <v>14</v>
      </c>
      <c r="B15" s="11" t="s">
        <v>97</v>
      </c>
      <c r="C15" s="9" t="s">
        <v>77</v>
      </c>
      <c r="D15" s="11" t="s">
        <v>91</v>
      </c>
      <c r="E15" s="9" t="s">
        <v>89</v>
      </c>
      <c r="F15" s="9">
        <v>3</v>
      </c>
      <c r="G15" s="9">
        <v>4</v>
      </c>
      <c r="H15" s="9">
        <v>5</v>
      </c>
      <c r="I15" s="9">
        <v>1</v>
      </c>
      <c r="J15" s="9">
        <f t="shared" si="0"/>
        <v>1</v>
      </c>
      <c r="K15" s="12">
        <f t="shared" si="1"/>
        <v>3.25</v>
      </c>
      <c r="L15" s="12">
        <f t="shared" si="2"/>
        <v>2.4117908702143849</v>
      </c>
      <c r="M15" s="13">
        <f t="shared" si="3"/>
        <v>2.25</v>
      </c>
      <c r="N15" s="13">
        <f t="shared" si="4"/>
        <v>1.4117908702143849</v>
      </c>
    </row>
    <row r="16" spans="1:14" ht="24.95">
      <c r="A16" s="9">
        <v>15</v>
      </c>
      <c r="B16" s="11" t="s">
        <v>98</v>
      </c>
      <c r="C16" s="9" t="s">
        <v>77</v>
      </c>
      <c r="D16" s="11" t="s">
        <v>91</v>
      </c>
      <c r="E16" s="9" t="s">
        <v>82</v>
      </c>
      <c r="F16" s="9">
        <v>3</v>
      </c>
      <c r="G16" s="9">
        <v>4</v>
      </c>
      <c r="H16" s="9">
        <v>5</v>
      </c>
      <c r="I16" s="9">
        <v>1</v>
      </c>
      <c r="J16" s="9">
        <f t="shared" si="0"/>
        <v>1</v>
      </c>
      <c r="K16" s="12">
        <f t="shared" si="1"/>
        <v>3.25</v>
      </c>
      <c r="L16" s="12">
        <f t="shared" si="2"/>
        <v>2.4117908702143849</v>
      </c>
      <c r="M16" s="13">
        <f t="shared" si="3"/>
        <v>2.25</v>
      </c>
      <c r="N16" s="13">
        <f t="shared" si="4"/>
        <v>1.4117908702143849</v>
      </c>
    </row>
    <row r="17" spans="1:14" ht="24.95">
      <c r="A17" s="9">
        <v>16</v>
      </c>
      <c r="B17" s="11" t="s">
        <v>99</v>
      </c>
      <c r="C17" s="9" t="s">
        <v>77</v>
      </c>
      <c r="D17" s="11" t="s">
        <v>91</v>
      </c>
      <c r="E17" s="9" t="s">
        <v>79</v>
      </c>
      <c r="F17" s="9">
        <v>3</v>
      </c>
      <c r="G17" s="9">
        <v>4</v>
      </c>
      <c r="H17" s="9">
        <v>5</v>
      </c>
      <c r="I17" s="9">
        <v>1</v>
      </c>
      <c r="J17" s="9">
        <f t="shared" si="0"/>
        <v>1</v>
      </c>
      <c r="K17" s="12">
        <f t="shared" si="1"/>
        <v>3.25</v>
      </c>
      <c r="L17" s="12">
        <f t="shared" si="2"/>
        <v>2.4117908702143849</v>
      </c>
      <c r="M17" s="13">
        <f t="shared" si="3"/>
        <v>2.25</v>
      </c>
      <c r="N17" s="13">
        <f t="shared" si="4"/>
        <v>1.4117908702143849</v>
      </c>
    </row>
    <row r="18" spans="1:14" ht="24.95">
      <c r="A18" s="9">
        <v>17</v>
      </c>
      <c r="B18" s="11" t="s">
        <v>100</v>
      </c>
      <c r="C18" s="9" t="s">
        <v>77</v>
      </c>
      <c r="D18" s="11" t="s">
        <v>91</v>
      </c>
      <c r="E18" s="9" t="s">
        <v>79</v>
      </c>
      <c r="F18" s="9">
        <v>3</v>
      </c>
      <c r="G18" s="9">
        <v>4</v>
      </c>
      <c r="H18" s="9">
        <v>5</v>
      </c>
      <c r="I18" s="9">
        <v>1</v>
      </c>
      <c r="J18" s="9">
        <f t="shared" si="0"/>
        <v>1</v>
      </c>
      <c r="K18" s="12">
        <f t="shared" si="1"/>
        <v>3.25</v>
      </c>
      <c r="L18" s="12">
        <f t="shared" si="2"/>
        <v>2.4117908702143849</v>
      </c>
      <c r="M18" s="13">
        <f t="shared" si="3"/>
        <v>2.25</v>
      </c>
      <c r="N18" s="13">
        <f t="shared" si="4"/>
        <v>1.4117908702143849</v>
      </c>
    </row>
    <row r="19" spans="1:14" ht="24.95">
      <c r="A19" s="9">
        <v>18</v>
      </c>
      <c r="B19" s="11" t="s">
        <v>101</v>
      </c>
      <c r="C19" s="9" t="s">
        <v>77</v>
      </c>
      <c r="D19" s="11" t="s">
        <v>91</v>
      </c>
      <c r="E19" s="9" t="s">
        <v>79</v>
      </c>
      <c r="F19" s="9">
        <v>3</v>
      </c>
      <c r="G19" s="9">
        <v>4</v>
      </c>
      <c r="H19" s="9">
        <v>5</v>
      </c>
      <c r="I19" s="9">
        <v>1</v>
      </c>
      <c r="J19" s="9">
        <f t="shared" si="0"/>
        <v>1</v>
      </c>
      <c r="K19" s="12">
        <f t="shared" si="1"/>
        <v>3.25</v>
      </c>
      <c r="L19" s="12">
        <f t="shared" si="2"/>
        <v>2.4117908702143849</v>
      </c>
      <c r="M19" s="13">
        <f t="shared" si="3"/>
        <v>2.25</v>
      </c>
      <c r="N19" s="13">
        <f t="shared" si="4"/>
        <v>1.4117908702143849</v>
      </c>
    </row>
    <row r="20" spans="1:14" ht="24.95">
      <c r="A20" s="9">
        <v>19</v>
      </c>
      <c r="B20" s="11" t="s">
        <v>102</v>
      </c>
      <c r="C20" s="9" t="s">
        <v>77</v>
      </c>
      <c r="D20" s="11" t="s">
        <v>91</v>
      </c>
      <c r="E20" s="9" t="s">
        <v>89</v>
      </c>
      <c r="F20" s="9">
        <v>3</v>
      </c>
      <c r="G20" s="9">
        <v>4</v>
      </c>
      <c r="H20" s="9">
        <v>5</v>
      </c>
      <c r="I20" s="9">
        <v>1</v>
      </c>
      <c r="J20" s="9">
        <f t="shared" si="0"/>
        <v>1</v>
      </c>
      <c r="K20" s="12">
        <f t="shared" si="1"/>
        <v>3.25</v>
      </c>
      <c r="L20" s="12">
        <f t="shared" si="2"/>
        <v>2.4117908702143849</v>
      </c>
      <c r="M20" s="13">
        <f t="shared" si="3"/>
        <v>2.25</v>
      </c>
      <c r="N20" s="13">
        <f t="shared" si="4"/>
        <v>1.4117908702143849</v>
      </c>
    </row>
    <row r="21" spans="1:14" ht="24.95">
      <c r="A21" s="9">
        <v>20</v>
      </c>
      <c r="B21" s="11" t="s">
        <v>103</v>
      </c>
      <c r="C21" s="9" t="s">
        <v>77</v>
      </c>
      <c r="D21" s="11" t="s">
        <v>91</v>
      </c>
      <c r="E21" s="9" t="s">
        <v>82</v>
      </c>
      <c r="F21" s="9">
        <v>3</v>
      </c>
      <c r="G21" s="9">
        <v>4</v>
      </c>
      <c r="H21" s="9">
        <v>5</v>
      </c>
      <c r="I21" s="9">
        <v>1</v>
      </c>
      <c r="J21" s="9">
        <f t="shared" si="0"/>
        <v>1</v>
      </c>
      <c r="K21" s="12">
        <f t="shared" si="1"/>
        <v>3.25</v>
      </c>
      <c r="L21" s="12">
        <f t="shared" si="2"/>
        <v>2.4117908702143849</v>
      </c>
      <c r="M21" s="13">
        <f t="shared" si="3"/>
        <v>2.25</v>
      </c>
      <c r="N21" s="13">
        <f t="shared" si="4"/>
        <v>1.4117908702143849</v>
      </c>
    </row>
    <row r="22" spans="1:14" ht="24.95">
      <c r="A22" s="9">
        <v>21</v>
      </c>
      <c r="B22" s="11" t="s">
        <v>104</v>
      </c>
      <c r="C22" s="9" t="s">
        <v>77</v>
      </c>
      <c r="D22" s="11" t="s">
        <v>91</v>
      </c>
      <c r="E22" s="9" t="s">
        <v>79</v>
      </c>
      <c r="F22" s="9">
        <v>3</v>
      </c>
      <c r="G22" s="9">
        <v>4</v>
      </c>
      <c r="H22" s="9">
        <v>5</v>
      </c>
      <c r="I22" s="9">
        <v>1</v>
      </c>
      <c r="J22" s="9">
        <f t="shared" si="0"/>
        <v>1</v>
      </c>
      <c r="K22" s="12">
        <f t="shared" si="1"/>
        <v>3.25</v>
      </c>
      <c r="L22" s="12">
        <f t="shared" si="2"/>
        <v>2.4117908702143849</v>
      </c>
      <c r="M22" s="13">
        <f t="shared" si="3"/>
        <v>2.25</v>
      </c>
      <c r="N22" s="13">
        <f t="shared" si="4"/>
        <v>1.4117908702143849</v>
      </c>
    </row>
    <row r="23" spans="1:14" ht="24.95">
      <c r="A23" s="9">
        <v>22</v>
      </c>
      <c r="B23" s="11" t="s">
        <v>105</v>
      </c>
      <c r="C23" s="9" t="s">
        <v>77</v>
      </c>
      <c r="D23" s="11" t="s">
        <v>84</v>
      </c>
      <c r="E23" s="9" t="s">
        <v>79</v>
      </c>
      <c r="F23" s="9">
        <v>3</v>
      </c>
      <c r="G23" s="9">
        <v>4</v>
      </c>
      <c r="H23" s="9">
        <v>3</v>
      </c>
      <c r="I23" s="9">
        <v>2</v>
      </c>
      <c r="J23" s="9">
        <f t="shared" si="0"/>
        <v>2</v>
      </c>
      <c r="K23" s="12">
        <f t="shared" si="1"/>
        <v>3</v>
      </c>
      <c r="L23" s="12">
        <f t="shared" si="2"/>
        <v>2.6919205871830734</v>
      </c>
      <c r="M23" s="13">
        <f t="shared" si="3"/>
        <v>1</v>
      </c>
      <c r="N23" s="13">
        <f t="shared" si="4"/>
        <v>0.69192058718307337</v>
      </c>
    </row>
    <row r="24" spans="1:14" ht="24.95">
      <c r="A24" s="9">
        <v>23</v>
      </c>
      <c r="B24" s="11" t="s">
        <v>106</v>
      </c>
      <c r="C24" s="9" t="s">
        <v>77</v>
      </c>
      <c r="D24" s="11" t="s">
        <v>84</v>
      </c>
      <c r="E24" s="9" t="s">
        <v>89</v>
      </c>
      <c r="F24" s="9">
        <v>3</v>
      </c>
      <c r="G24" s="9">
        <v>4</v>
      </c>
      <c r="H24" s="9">
        <v>4</v>
      </c>
      <c r="I24" s="9">
        <v>4</v>
      </c>
      <c r="J24" s="9">
        <f t="shared" si="0"/>
        <v>3</v>
      </c>
      <c r="K24" s="12">
        <f t="shared" si="1"/>
        <v>3.75</v>
      </c>
      <c r="L24" s="12">
        <f t="shared" si="2"/>
        <v>3.8854600772362842</v>
      </c>
      <c r="M24" s="13">
        <f t="shared" si="3"/>
        <v>0.75</v>
      </c>
      <c r="N24" s="13">
        <f t="shared" si="4"/>
        <v>0.88546007723628417</v>
      </c>
    </row>
    <row r="25" spans="1:14" ht="24.95">
      <c r="A25" s="9">
        <v>24</v>
      </c>
      <c r="B25" s="11" t="s">
        <v>107</v>
      </c>
      <c r="C25" s="9" t="s">
        <v>77</v>
      </c>
      <c r="D25" s="11" t="s">
        <v>84</v>
      </c>
      <c r="E25" s="9" t="s">
        <v>82</v>
      </c>
      <c r="F25" s="9">
        <v>3</v>
      </c>
      <c r="G25" s="9">
        <v>4</v>
      </c>
      <c r="H25" s="9">
        <v>3</v>
      </c>
      <c r="I25" s="9">
        <v>5</v>
      </c>
      <c r="J25" s="9">
        <f t="shared" si="0"/>
        <v>3</v>
      </c>
      <c r="K25" s="12">
        <f t="shared" si="1"/>
        <v>3.75</v>
      </c>
      <c r="L25" s="12">
        <f t="shared" si="2"/>
        <v>4.2922458054281396</v>
      </c>
      <c r="M25" s="13">
        <f t="shared" si="3"/>
        <v>0.75</v>
      </c>
      <c r="N25" s="13">
        <f t="shared" si="4"/>
        <v>1.2922458054281396</v>
      </c>
    </row>
    <row r="26" spans="1:14" ht="24.95">
      <c r="A26" s="9">
        <v>25</v>
      </c>
      <c r="B26" s="11" t="s">
        <v>108</v>
      </c>
      <c r="C26" s="9" t="s">
        <v>77</v>
      </c>
      <c r="D26" s="11" t="s">
        <v>109</v>
      </c>
      <c r="E26" s="9" t="s">
        <v>79</v>
      </c>
      <c r="F26" s="9">
        <v>2</v>
      </c>
      <c r="G26" s="9">
        <v>2</v>
      </c>
      <c r="H26" s="9">
        <v>3</v>
      </c>
      <c r="I26" s="9">
        <v>2</v>
      </c>
      <c r="J26" s="9">
        <f t="shared" si="0"/>
        <v>2</v>
      </c>
      <c r="K26" s="12">
        <f t="shared" si="1"/>
        <v>2.25</v>
      </c>
      <c r="L26" s="12">
        <f t="shared" si="2"/>
        <v>2.1266560112231652</v>
      </c>
      <c r="M26" s="13">
        <f t="shared" si="3"/>
        <v>0.25</v>
      </c>
      <c r="N26" s="13">
        <f t="shared" si="4"/>
        <v>0.12665601122316517</v>
      </c>
    </row>
    <row r="27" spans="1:14" ht="24.95">
      <c r="A27" s="9">
        <v>26</v>
      </c>
      <c r="B27" s="11" t="s">
        <v>110</v>
      </c>
      <c r="C27" s="9" t="s">
        <v>77</v>
      </c>
      <c r="D27" s="11" t="s">
        <v>109</v>
      </c>
      <c r="E27" s="9" t="s">
        <v>89</v>
      </c>
      <c r="F27" s="9">
        <v>2</v>
      </c>
      <c r="G27" s="9">
        <v>2</v>
      </c>
      <c r="H27" s="9">
        <v>3</v>
      </c>
      <c r="I27" s="9">
        <v>2</v>
      </c>
      <c r="J27" s="9">
        <f t="shared" si="0"/>
        <v>2</v>
      </c>
      <c r="K27" s="12">
        <f t="shared" si="1"/>
        <v>2.25</v>
      </c>
      <c r="L27" s="12">
        <f t="shared" si="2"/>
        <v>2.1266560112231652</v>
      </c>
      <c r="M27" s="13">
        <f t="shared" si="3"/>
        <v>0.25</v>
      </c>
      <c r="N27" s="13">
        <f t="shared" si="4"/>
        <v>0.12665601122316517</v>
      </c>
    </row>
    <row r="28" spans="1:14" ht="24.95">
      <c r="A28" s="9">
        <v>27</v>
      </c>
      <c r="B28" s="11" t="s">
        <v>111</v>
      </c>
      <c r="C28" s="9" t="s">
        <v>77</v>
      </c>
      <c r="D28" s="11" t="s">
        <v>109</v>
      </c>
      <c r="E28" s="9" t="s">
        <v>79</v>
      </c>
      <c r="F28" s="9">
        <v>2</v>
      </c>
      <c r="G28" s="9">
        <v>2</v>
      </c>
      <c r="H28" s="9">
        <v>3</v>
      </c>
      <c r="I28" s="9">
        <v>2</v>
      </c>
      <c r="J28" s="9">
        <f t="shared" si="0"/>
        <v>2</v>
      </c>
      <c r="K28" s="12">
        <f t="shared" si="1"/>
        <v>2.25</v>
      </c>
      <c r="L28" s="12">
        <f t="shared" si="2"/>
        <v>2.1266560112231652</v>
      </c>
      <c r="M28" s="13">
        <f t="shared" si="3"/>
        <v>0.25</v>
      </c>
      <c r="N28" s="13">
        <f t="shared" si="4"/>
        <v>0.12665601122316517</v>
      </c>
    </row>
    <row r="29" spans="1:14" ht="24.95">
      <c r="A29" s="9">
        <v>28</v>
      </c>
      <c r="B29" s="11" t="s">
        <v>112</v>
      </c>
      <c r="C29" s="9" t="s">
        <v>77</v>
      </c>
      <c r="D29" s="11" t="s">
        <v>109</v>
      </c>
      <c r="E29" s="9" t="s">
        <v>82</v>
      </c>
      <c r="F29" s="9">
        <v>1</v>
      </c>
      <c r="G29" s="9">
        <v>1</v>
      </c>
      <c r="H29" s="9">
        <v>2</v>
      </c>
      <c r="I29" s="9">
        <v>2</v>
      </c>
      <c r="J29" s="9">
        <f t="shared" si="0"/>
        <v>1</v>
      </c>
      <c r="K29" s="12">
        <f t="shared" si="1"/>
        <v>1.5</v>
      </c>
      <c r="L29" s="12">
        <f t="shared" si="2"/>
        <v>1.660097750638188</v>
      </c>
      <c r="M29" s="13">
        <f t="shared" si="3"/>
        <v>0.5</v>
      </c>
      <c r="N29" s="13">
        <f t="shared" si="4"/>
        <v>0.66009775063818799</v>
      </c>
    </row>
    <row r="30" spans="1:14" ht="24.95">
      <c r="A30" s="9">
        <v>29</v>
      </c>
      <c r="B30" s="11" t="s">
        <v>113</v>
      </c>
      <c r="C30" s="9" t="s">
        <v>77</v>
      </c>
      <c r="D30" s="11" t="s">
        <v>109</v>
      </c>
      <c r="E30" s="9" t="s">
        <v>79</v>
      </c>
      <c r="F30" s="9">
        <v>1</v>
      </c>
      <c r="G30" s="9">
        <v>1</v>
      </c>
      <c r="H30" s="9">
        <v>2</v>
      </c>
      <c r="I30" s="9">
        <v>2</v>
      </c>
      <c r="J30" s="9">
        <f t="shared" si="0"/>
        <v>1</v>
      </c>
      <c r="K30" s="12">
        <f t="shared" si="1"/>
        <v>1.5</v>
      </c>
      <c r="L30" s="12">
        <f t="shared" si="2"/>
        <v>1.660097750638188</v>
      </c>
      <c r="M30" s="13">
        <f t="shared" si="3"/>
        <v>0.5</v>
      </c>
      <c r="N30" s="13">
        <f t="shared" si="4"/>
        <v>0.66009775063818799</v>
      </c>
    </row>
    <row r="31" spans="1:14">
      <c r="A31" s="9">
        <v>30</v>
      </c>
      <c r="B31" s="11" t="s">
        <v>114</v>
      </c>
      <c r="C31" s="9" t="s">
        <v>77</v>
      </c>
      <c r="D31" s="11" t="s">
        <v>109</v>
      </c>
      <c r="E31" s="9" t="s">
        <v>89</v>
      </c>
      <c r="F31" s="9">
        <v>2</v>
      </c>
      <c r="G31" s="9">
        <v>1</v>
      </c>
      <c r="H31" s="9">
        <v>2</v>
      </c>
      <c r="I31" s="9">
        <v>1</v>
      </c>
      <c r="J31" s="9">
        <f t="shared" si="0"/>
        <v>1</v>
      </c>
      <c r="K31" s="12">
        <f t="shared" si="1"/>
        <v>1.5</v>
      </c>
      <c r="L31" s="12">
        <f t="shared" si="2"/>
        <v>1.2411959339868779</v>
      </c>
      <c r="M31" s="13">
        <f t="shared" si="3"/>
        <v>0.5</v>
      </c>
      <c r="N31" s="13">
        <f t="shared" si="4"/>
        <v>0.24119593398687789</v>
      </c>
    </row>
    <row r="32" spans="1:14">
      <c r="A32" s="9">
        <v>31</v>
      </c>
      <c r="B32" s="11" t="s">
        <v>115</v>
      </c>
      <c r="C32" s="9" t="s">
        <v>77</v>
      </c>
      <c r="D32" s="11" t="s">
        <v>109</v>
      </c>
      <c r="E32" s="9" t="s">
        <v>82</v>
      </c>
      <c r="F32" s="9">
        <v>2</v>
      </c>
      <c r="G32" s="9">
        <v>1</v>
      </c>
      <c r="H32" s="9">
        <v>2</v>
      </c>
      <c r="I32" s="9">
        <v>2</v>
      </c>
      <c r="J32" s="9">
        <f t="shared" si="0"/>
        <v>1</v>
      </c>
      <c r="K32" s="12">
        <f t="shared" si="1"/>
        <v>1.75</v>
      </c>
      <c r="L32" s="12">
        <f t="shared" si="2"/>
        <v>1.7746376734019</v>
      </c>
      <c r="M32" s="13">
        <f t="shared" si="3"/>
        <v>0.75</v>
      </c>
      <c r="N32" s="13">
        <f t="shared" si="4"/>
        <v>0.77463767340190004</v>
      </c>
    </row>
    <row r="33" spans="1:14" ht="24.95">
      <c r="A33" s="9">
        <v>32</v>
      </c>
      <c r="B33" s="11" t="s">
        <v>116</v>
      </c>
      <c r="C33" s="9" t="s">
        <v>77</v>
      </c>
      <c r="D33" s="11" t="s">
        <v>78</v>
      </c>
      <c r="E33" s="9" t="s">
        <v>79</v>
      </c>
      <c r="F33" s="9">
        <v>3</v>
      </c>
      <c r="G33" s="9">
        <v>3</v>
      </c>
      <c r="H33" s="9">
        <v>3</v>
      </c>
      <c r="I33" s="9">
        <v>4</v>
      </c>
      <c r="J33" s="9">
        <f t="shared" si="0"/>
        <v>3</v>
      </c>
      <c r="K33" s="12">
        <f t="shared" si="1"/>
        <v>3.25</v>
      </c>
      <c r="L33" s="12">
        <f t="shared" si="2"/>
        <v>3.5334417394150193</v>
      </c>
      <c r="M33" s="13">
        <f t="shared" si="3"/>
        <v>0.25</v>
      </c>
      <c r="N33" s="13">
        <f t="shared" si="4"/>
        <v>0.53344173941501927</v>
      </c>
    </row>
    <row r="34" spans="1:14" ht="24.95">
      <c r="A34" s="9">
        <v>33</v>
      </c>
      <c r="B34" s="11" t="s">
        <v>117</v>
      </c>
      <c r="C34" s="9" t="s">
        <v>77</v>
      </c>
      <c r="D34" s="11" t="s">
        <v>78</v>
      </c>
      <c r="E34" s="9" t="s">
        <v>79</v>
      </c>
      <c r="F34" s="9">
        <v>3</v>
      </c>
      <c r="G34" s="9">
        <v>2</v>
      </c>
      <c r="H34" s="9">
        <v>3</v>
      </c>
      <c r="I34" s="9">
        <v>3</v>
      </c>
      <c r="J34" s="9">
        <f t="shared" ref="J34:J65" si="5">MIN(F34:I34)</f>
        <v>2</v>
      </c>
      <c r="K34" s="12">
        <f t="shared" ref="K34:K65" si="6">AVERAGE(F34:I34)</f>
        <v>2.75</v>
      </c>
      <c r="L34" s="12">
        <f t="shared" ref="L34:L65" si="7">F34*0.114539922763712+G34*0.225362326598098+H34*0.126656011223167+I34*0.533441739415022</f>
        <v>2.7746376734018989</v>
      </c>
      <c r="M34" s="13">
        <f t="shared" ref="M34:M65" si="8">K34-J34</f>
        <v>0.75</v>
      </c>
      <c r="N34" s="13">
        <f t="shared" ref="N34:N65" si="9">L34-J34</f>
        <v>0.77463767340189893</v>
      </c>
    </row>
    <row r="35" spans="1:14">
      <c r="A35" s="9">
        <v>34</v>
      </c>
      <c r="B35" s="11" t="s">
        <v>118</v>
      </c>
      <c r="C35" s="9" t="s">
        <v>77</v>
      </c>
      <c r="D35" s="11" t="s">
        <v>78</v>
      </c>
      <c r="E35" s="9" t="s">
        <v>82</v>
      </c>
      <c r="F35" s="9">
        <v>3</v>
      </c>
      <c r="G35" s="9">
        <v>3</v>
      </c>
      <c r="H35" s="9">
        <v>3</v>
      </c>
      <c r="I35" s="9">
        <v>5</v>
      </c>
      <c r="J35" s="9">
        <f t="shared" si="5"/>
        <v>3</v>
      </c>
      <c r="K35" s="12">
        <f t="shared" si="6"/>
        <v>3.5</v>
      </c>
      <c r="L35" s="12">
        <f t="shared" si="7"/>
        <v>4.0668834788300412</v>
      </c>
      <c r="M35" s="13">
        <f t="shared" si="8"/>
        <v>0.5</v>
      </c>
      <c r="N35" s="13">
        <f t="shared" si="9"/>
        <v>1.0668834788300412</v>
      </c>
    </row>
    <row r="36" spans="1:14" ht="24.95">
      <c r="A36" s="9">
        <v>35</v>
      </c>
      <c r="B36" s="11" t="s">
        <v>119</v>
      </c>
      <c r="C36" s="9" t="s">
        <v>77</v>
      </c>
      <c r="D36" s="11" t="s">
        <v>78</v>
      </c>
      <c r="E36" s="9" t="s">
        <v>82</v>
      </c>
      <c r="F36" s="9">
        <v>3</v>
      </c>
      <c r="G36" s="9">
        <v>3</v>
      </c>
      <c r="H36" s="9">
        <v>4</v>
      </c>
      <c r="I36" s="9">
        <v>4</v>
      </c>
      <c r="J36" s="9">
        <f t="shared" si="5"/>
        <v>3</v>
      </c>
      <c r="K36" s="12">
        <f t="shared" si="6"/>
        <v>3.5</v>
      </c>
      <c r="L36" s="12">
        <f t="shared" si="7"/>
        <v>3.6600977506381862</v>
      </c>
      <c r="M36" s="13">
        <f t="shared" si="8"/>
        <v>0.5</v>
      </c>
      <c r="N36" s="13">
        <f t="shared" si="9"/>
        <v>0.66009775063818621</v>
      </c>
    </row>
    <row r="37" spans="1:14">
      <c r="A37" s="9">
        <v>36</v>
      </c>
      <c r="B37" s="11" t="s">
        <v>120</v>
      </c>
      <c r="C37" s="9" t="s">
        <v>77</v>
      </c>
      <c r="D37" s="11" t="s">
        <v>78</v>
      </c>
      <c r="E37" s="9" t="s">
        <v>82</v>
      </c>
      <c r="F37" s="9">
        <v>3</v>
      </c>
      <c r="G37" s="9">
        <v>3</v>
      </c>
      <c r="H37" s="9">
        <v>3</v>
      </c>
      <c r="I37" s="9">
        <v>5</v>
      </c>
      <c r="J37" s="9">
        <f t="shared" si="5"/>
        <v>3</v>
      </c>
      <c r="K37" s="12">
        <f t="shared" si="6"/>
        <v>3.5</v>
      </c>
      <c r="L37" s="12">
        <f t="shared" si="7"/>
        <v>4.0668834788300412</v>
      </c>
      <c r="M37" s="13">
        <f t="shared" si="8"/>
        <v>0.5</v>
      </c>
      <c r="N37" s="13">
        <f t="shared" si="9"/>
        <v>1.0668834788300412</v>
      </c>
    </row>
    <row r="38" spans="1:14">
      <c r="A38" s="9">
        <v>37</v>
      </c>
      <c r="B38" s="11" t="s">
        <v>121</v>
      </c>
      <c r="C38" s="9" t="s">
        <v>77</v>
      </c>
      <c r="D38" s="11" t="s">
        <v>78</v>
      </c>
      <c r="E38" s="9" t="s">
        <v>82</v>
      </c>
      <c r="F38" s="9">
        <v>2</v>
      </c>
      <c r="G38" s="9">
        <v>1</v>
      </c>
      <c r="H38" s="9">
        <v>2</v>
      </c>
      <c r="I38" s="9">
        <v>3</v>
      </c>
      <c r="J38" s="9">
        <f t="shared" si="5"/>
        <v>1</v>
      </c>
      <c r="K38" s="12">
        <f t="shared" si="6"/>
        <v>2</v>
      </c>
      <c r="L38" s="12">
        <f t="shared" si="7"/>
        <v>2.3080794128169222</v>
      </c>
      <c r="M38" s="13">
        <f t="shared" si="8"/>
        <v>1</v>
      </c>
      <c r="N38" s="13">
        <f t="shared" si="9"/>
        <v>1.3080794128169222</v>
      </c>
    </row>
    <row r="39" spans="1:14">
      <c r="A39" s="9">
        <v>38</v>
      </c>
      <c r="B39" s="11" t="s">
        <v>122</v>
      </c>
      <c r="C39" s="9" t="s">
        <v>123</v>
      </c>
      <c r="D39" s="11" t="s">
        <v>123</v>
      </c>
      <c r="E39" s="9" t="s">
        <v>82</v>
      </c>
      <c r="F39" s="9">
        <v>2</v>
      </c>
      <c r="G39" s="9">
        <v>2</v>
      </c>
      <c r="H39" s="9">
        <v>3</v>
      </c>
      <c r="I39" s="9">
        <v>1</v>
      </c>
      <c r="J39" s="9">
        <f t="shared" si="5"/>
        <v>1</v>
      </c>
      <c r="K39" s="12">
        <f t="shared" si="6"/>
        <v>2</v>
      </c>
      <c r="L39" s="12">
        <f t="shared" si="7"/>
        <v>1.5932142718081432</v>
      </c>
      <c r="M39" s="13">
        <f t="shared" si="8"/>
        <v>1</v>
      </c>
      <c r="N39" s="13">
        <f t="shared" si="9"/>
        <v>0.59321427180814323</v>
      </c>
    </row>
    <row r="40" spans="1:14">
      <c r="A40" s="9">
        <v>39</v>
      </c>
      <c r="B40" s="11" t="s">
        <v>124</v>
      </c>
      <c r="C40" s="9" t="s">
        <v>123</v>
      </c>
      <c r="D40" s="11" t="s">
        <v>123</v>
      </c>
      <c r="E40" s="9" t="s">
        <v>82</v>
      </c>
      <c r="F40" s="9">
        <v>2</v>
      </c>
      <c r="G40" s="9">
        <v>2</v>
      </c>
      <c r="H40" s="9">
        <v>3</v>
      </c>
      <c r="I40" s="9">
        <v>1</v>
      </c>
      <c r="J40" s="9">
        <f t="shared" si="5"/>
        <v>1</v>
      </c>
      <c r="K40" s="12">
        <f t="shared" si="6"/>
        <v>2</v>
      </c>
      <c r="L40" s="12">
        <f t="shared" si="7"/>
        <v>1.5932142718081432</v>
      </c>
      <c r="M40" s="13">
        <f t="shared" si="8"/>
        <v>1</v>
      </c>
      <c r="N40" s="13">
        <f t="shared" si="9"/>
        <v>0.59321427180814323</v>
      </c>
    </row>
    <row r="41" spans="1:14">
      <c r="A41" s="9">
        <v>40</v>
      </c>
      <c r="B41" s="11" t="s">
        <v>125</v>
      </c>
      <c r="C41" s="9" t="s">
        <v>123</v>
      </c>
      <c r="D41" s="11" t="s">
        <v>123</v>
      </c>
      <c r="E41" s="9" t="s">
        <v>82</v>
      </c>
      <c r="F41" s="9">
        <v>2</v>
      </c>
      <c r="G41" s="9">
        <v>2</v>
      </c>
      <c r="H41" s="9">
        <v>3</v>
      </c>
      <c r="I41" s="9">
        <v>1</v>
      </c>
      <c r="J41" s="9">
        <f t="shared" si="5"/>
        <v>1</v>
      </c>
      <c r="K41" s="12">
        <f t="shared" si="6"/>
        <v>2</v>
      </c>
      <c r="L41" s="12">
        <f t="shared" si="7"/>
        <v>1.5932142718081432</v>
      </c>
      <c r="M41" s="13">
        <f t="shared" si="8"/>
        <v>1</v>
      </c>
      <c r="N41" s="13">
        <f t="shared" si="9"/>
        <v>0.59321427180814323</v>
      </c>
    </row>
    <row r="42" spans="1:14">
      <c r="A42" s="9">
        <v>41</v>
      </c>
      <c r="B42" s="11" t="s">
        <v>126</v>
      </c>
      <c r="C42" s="9" t="s">
        <v>123</v>
      </c>
      <c r="D42" s="11" t="s">
        <v>123</v>
      </c>
      <c r="E42" s="9" t="s">
        <v>82</v>
      </c>
      <c r="F42" s="9">
        <v>2</v>
      </c>
      <c r="G42" s="9">
        <v>2</v>
      </c>
      <c r="H42" s="9">
        <v>3</v>
      </c>
      <c r="I42" s="9">
        <v>1</v>
      </c>
      <c r="J42" s="9">
        <f t="shared" si="5"/>
        <v>1</v>
      </c>
      <c r="K42" s="12">
        <f t="shared" si="6"/>
        <v>2</v>
      </c>
      <c r="L42" s="12">
        <f t="shared" si="7"/>
        <v>1.5932142718081432</v>
      </c>
      <c r="M42" s="13">
        <f t="shared" si="8"/>
        <v>1</v>
      </c>
      <c r="N42" s="13">
        <f t="shared" si="9"/>
        <v>0.59321427180814323</v>
      </c>
    </row>
    <row r="43" spans="1:14">
      <c r="A43" s="9">
        <v>42</v>
      </c>
      <c r="B43" s="11" t="s">
        <v>127</v>
      </c>
      <c r="C43" s="9" t="s">
        <v>123</v>
      </c>
      <c r="D43" s="11" t="s">
        <v>123</v>
      </c>
      <c r="E43" s="9" t="s">
        <v>82</v>
      </c>
      <c r="F43" s="9">
        <v>2</v>
      </c>
      <c r="G43" s="9">
        <v>2</v>
      </c>
      <c r="H43" s="9">
        <v>2</v>
      </c>
      <c r="I43" s="9">
        <v>1</v>
      </c>
      <c r="J43" s="9">
        <f t="shared" si="5"/>
        <v>1</v>
      </c>
      <c r="K43" s="12">
        <f t="shared" si="6"/>
        <v>1.75</v>
      </c>
      <c r="L43" s="12">
        <f t="shared" si="7"/>
        <v>1.4665582605849761</v>
      </c>
      <c r="M43" s="13">
        <f t="shared" si="8"/>
        <v>0.75</v>
      </c>
      <c r="N43" s="13">
        <f t="shared" si="9"/>
        <v>0.46655826058497607</v>
      </c>
    </row>
    <row r="44" spans="1:14" ht="24.95">
      <c r="A44" s="9">
        <v>43</v>
      </c>
      <c r="B44" s="11" t="s">
        <v>128</v>
      </c>
      <c r="C44" s="9" t="s">
        <v>123</v>
      </c>
      <c r="D44" s="11" t="s">
        <v>123</v>
      </c>
      <c r="E44" s="9" t="s">
        <v>82</v>
      </c>
      <c r="F44" s="9">
        <v>2</v>
      </c>
      <c r="G44" s="9">
        <v>2</v>
      </c>
      <c r="H44" s="9">
        <v>3</v>
      </c>
      <c r="I44" s="9">
        <v>1</v>
      </c>
      <c r="J44" s="9">
        <f t="shared" si="5"/>
        <v>1</v>
      </c>
      <c r="K44" s="12">
        <f t="shared" si="6"/>
        <v>2</v>
      </c>
      <c r="L44" s="12">
        <f t="shared" si="7"/>
        <v>1.5932142718081432</v>
      </c>
      <c r="M44" s="13">
        <f t="shared" si="8"/>
        <v>1</v>
      </c>
      <c r="N44" s="13">
        <f t="shared" si="9"/>
        <v>0.59321427180814323</v>
      </c>
    </row>
    <row r="45" spans="1:14">
      <c r="A45" s="9">
        <v>44</v>
      </c>
      <c r="B45" s="11" t="s">
        <v>129</v>
      </c>
      <c r="C45" s="9" t="s">
        <v>123</v>
      </c>
      <c r="D45" s="11" t="s">
        <v>123</v>
      </c>
      <c r="E45" s="9" t="s">
        <v>82</v>
      </c>
      <c r="F45" s="9">
        <v>2</v>
      </c>
      <c r="G45" s="9">
        <v>2</v>
      </c>
      <c r="H45" s="9">
        <v>3</v>
      </c>
      <c r="I45" s="9">
        <v>1</v>
      </c>
      <c r="J45" s="9">
        <f t="shared" si="5"/>
        <v>1</v>
      </c>
      <c r="K45" s="12">
        <f t="shared" si="6"/>
        <v>2</v>
      </c>
      <c r="L45" s="12">
        <f t="shared" si="7"/>
        <v>1.5932142718081432</v>
      </c>
      <c r="M45" s="13">
        <f t="shared" si="8"/>
        <v>1</v>
      </c>
      <c r="N45" s="13">
        <f t="shared" si="9"/>
        <v>0.59321427180814323</v>
      </c>
    </row>
    <row r="46" spans="1:14" ht="24.95">
      <c r="A46" s="9">
        <v>45</v>
      </c>
      <c r="B46" s="11" t="s">
        <v>130</v>
      </c>
      <c r="C46" s="9" t="s">
        <v>123</v>
      </c>
      <c r="D46" s="11" t="s">
        <v>123</v>
      </c>
      <c r="E46" s="9" t="s">
        <v>82</v>
      </c>
      <c r="F46" s="9">
        <v>1</v>
      </c>
      <c r="G46" s="9">
        <v>2</v>
      </c>
      <c r="H46" s="9">
        <v>2</v>
      </c>
      <c r="I46" s="9">
        <v>1</v>
      </c>
      <c r="J46" s="9">
        <f t="shared" si="5"/>
        <v>1</v>
      </c>
      <c r="K46" s="12">
        <f t="shared" si="6"/>
        <v>1.5</v>
      </c>
      <c r="L46" s="12">
        <f t="shared" si="7"/>
        <v>1.352018337821264</v>
      </c>
      <c r="M46" s="13">
        <f t="shared" si="8"/>
        <v>0.5</v>
      </c>
      <c r="N46" s="13">
        <f t="shared" si="9"/>
        <v>0.35201833782126402</v>
      </c>
    </row>
    <row r="47" spans="1:14" ht="24.95">
      <c r="A47" s="9">
        <v>46</v>
      </c>
      <c r="B47" s="11" t="s">
        <v>131</v>
      </c>
      <c r="C47" s="9" t="s">
        <v>123</v>
      </c>
      <c r="D47" s="11" t="s">
        <v>123</v>
      </c>
      <c r="E47" s="9" t="s">
        <v>82</v>
      </c>
      <c r="F47" s="9">
        <v>2</v>
      </c>
      <c r="G47" s="9">
        <v>2</v>
      </c>
      <c r="H47" s="9">
        <v>3</v>
      </c>
      <c r="I47" s="9">
        <v>1</v>
      </c>
      <c r="J47" s="9">
        <f t="shared" si="5"/>
        <v>1</v>
      </c>
      <c r="K47" s="12">
        <f t="shared" si="6"/>
        <v>2</v>
      </c>
      <c r="L47" s="12">
        <f t="shared" si="7"/>
        <v>1.5932142718081432</v>
      </c>
      <c r="M47" s="13">
        <f t="shared" si="8"/>
        <v>1</v>
      </c>
      <c r="N47" s="13">
        <f t="shared" si="9"/>
        <v>0.59321427180814323</v>
      </c>
    </row>
    <row r="48" spans="1:14" ht="24.95">
      <c r="A48" s="9">
        <v>47</v>
      </c>
      <c r="B48" s="11" t="s">
        <v>132</v>
      </c>
      <c r="C48" s="9" t="s">
        <v>123</v>
      </c>
      <c r="D48" s="11" t="s">
        <v>123</v>
      </c>
      <c r="E48" s="9" t="s">
        <v>82</v>
      </c>
      <c r="F48" s="9">
        <v>2</v>
      </c>
      <c r="G48" s="9">
        <v>2</v>
      </c>
      <c r="H48" s="9">
        <v>3</v>
      </c>
      <c r="I48" s="9">
        <v>1</v>
      </c>
      <c r="J48" s="9">
        <f t="shared" si="5"/>
        <v>1</v>
      </c>
      <c r="K48" s="12">
        <f t="shared" si="6"/>
        <v>2</v>
      </c>
      <c r="L48" s="12">
        <f t="shared" si="7"/>
        <v>1.5932142718081432</v>
      </c>
      <c r="M48" s="13">
        <f t="shared" si="8"/>
        <v>1</v>
      </c>
      <c r="N48" s="13">
        <f t="shared" si="9"/>
        <v>0.59321427180814323</v>
      </c>
    </row>
    <row r="49" spans="1:14" ht="24.95">
      <c r="A49" s="9">
        <v>48</v>
      </c>
      <c r="B49" s="11" t="s">
        <v>133</v>
      </c>
      <c r="C49" s="9" t="s">
        <v>123</v>
      </c>
      <c r="D49" s="11" t="s">
        <v>123</v>
      </c>
      <c r="E49" s="9" t="s">
        <v>82</v>
      </c>
      <c r="F49" s="9">
        <v>2</v>
      </c>
      <c r="G49" s="9">
        <v>2</v>
      </c>
      <c r="H49" s="9">
        <v>3</v>
      </c>
      <c r="I49" s="9">
        <v>1</v>
      </c>
      <c r="J49" s="9">
        <f t="shared" si="5"/>
        <v>1</v>
      </c>
      <c r="K49" s="12">
        <f t="shared" si="6"/>
        <v>2</v>
      </c>
      <c r="L49" s="12">
        <f t="shared" si="7"/>
        <v>1.5932142718081432</v>
      </c>
      <c r="M49" s="13">
        <f t="shared" si="8"/>
        <v>1</v>
      </c>
      <c r="N49" s="13">
        <f t="shared" si="9"/>
        <v>0.59321427180814323</v>
      </c>
    </row>
    <row r="50" spans="1:14">
      <c r="A50" s="9">
        <v>49</v>
      </c>
      <c r="B50" s="11" t="s">
        <v>134</v>
      </c>
      <c r="C50" s="9" t="s">
        <v>123</v>
      </c>
      <c r="D50" s="11" t="s">
        <v>123</v>
      </c>
      <c r="E50" s="9" t="s">
        <v>82</v>
      </c>
      <c r="F50" s="9">
        <v>2</v>
      </c>
      <c r="G50" s="9">
        <v>2</v>
      </c>
      <c r="H50" s="9">
        <v>2</v>
      </c>
      <c r="I50" s="9">
        <v>1</v>
      </c>
      <c r="J50" s="9">
        <f t="shared" si="5"/>
        <v>1</v>
      </c>
      <c r="K50" s="12">
        <f t="shared" si="6"/>
        <v>1.75</v>
      </c>
      <c r="L50" s="12">
        <f t="shared" si="7"/>
        <v>1.4665582605849761</v>
      </c>
      <c r="M50" s="13">
        <f t="shared" si="8"/>
        <v>0.75</v>
      </c>
      <c r="N50" s="13">
        <f t="shared" si="9"/>
        <v>0.46655826058497607</v>
      </c>
    </row>
    <row r="51" spans="1:14">
      <c r="A51" s="9">
        <v>50</v>
      </c>
      <c r="B51" s="11" t="s">
        <v>135</v>
      </c>
      <c r="C51" s="9" t="s">
        <v>123</v>
      </c>
      <c r="D51" s="11" t="s">
        <v>123</v>
      </c>
      <c r="E51" s="9" t="s">
        <v>82</v>
      </c>
      <c r="F51" s="9">
        <v>2</v>
      </c>
      <c r="G51" s="9">
        <v>2</v>
      </c>
      <c r="H51" s="9">
        <v>2</v>
      </c>
      <c r="I51" s="9">
        <v>1</v>
      </c>
      <c r="J51" s="9">
        <f t="shared" si="5"/>
        <v>1</v>
      </c>
      <c r="K51" s="12">
        <f t="shared" si="6"/>
        <v>1.75</v>
      </c>
      <c r="L51" s="12">
        <f t="shared" si="7"/>
        <v>1.4665582605849761</v>
      </c>
      <c r="M51" s="13">
        <f t="shared" si="8"/>
        <v>0.75</v>
      </c>
      <c r="N51" s="13">
        <f t="shared" si="9"/>
        <v>0.46655826058497607</v>
      </c>
    </row>
    <row r="52" spans="1:14" ht="24.95">
      <c r="A52" s="9">
        <v>51</v>
      </c>
      <c r="B52" s="11" t="s">
        <v>136</v>
      </c>
      <c r="C52" s="9" t="s">
        <v>123</v>
      </c>
      <c r="D52" s="11" t="s">
        <v>123</v>
      </c>
      <c r="E52" s="9" t="s">
        <v>82</v>
      </c>
      <c r="F52" s="9">
        <v>2</v>
      </c>
      <c r="G52" s="9">
        <v>2</v>
      </c>
      <c r="H52" s="9">
        <v>3</v>
      </c>
      <c r="I52" s="9">
        <v>1</v>
      </c>
      <c r="J52" s="9">
        <f t="shared" si="5"/>
        <v>1</v>
      </c>
      <c r="K52" s="12">
        <f t="shared" si="6"/>
        <v>2</v>
      </c>
      <c r="L52" s="12">
        <f t="shared" si="7"/>
        <v>1.5932142718081432</v>
      </c>
      <c r="M52" s="13">
        <f t="shared" si="8"/>
        <v>1</v>
      </c>
      <c r="N52" s="13">
        <f t="shared" si="9"/>
        <v>0.59321427180814323</v>
      </c>
    </row>
    <row r="53" spans="1:14" ht="24.95">
      <c r="A53" s="9">
        <v>52</v>
      </c>
      <c r="B53" s="11" t="s">
        <v>137</v>
      </c>
      <c r="C53" s="9" t="s">
        <v>123</v>
      </c>
      <c r="D53" s="11" t="s">
        <v>123</v>
      </c>
      <c r="E53" s="9" t="s">
        <v>82</v>
      </c>
      <c r="F53" s="9">
        <v>2</v>
      </c>
      <c r="G53" s="9">
        <v>2</v>
      </c>
      <c r="H53" s="9">
        <v>3</v>
      </c>
      <c r="I53" s="9">
        <v>1</v>
      </c>
      <c r="J53" s="9">
        <f t="shared" si="5"/>
        <v>1</v>
      </c>
      <c r="K53" s="12">
        <f t="shared" si="6"/>
        <v>2</v>
      </c>
      <c r="L53" s="12">
        <f t="shared" si="7"/>
        <v>1.5932142718081432</v>
      </c>
      <c r="M53" s="13">
        <f t="shared" si="8"/>
        <v>1</v>
      </c>
      <c r="N53" s="13">
        <f t="shared" si="9"/>
        <v>0.59321427180814323</v>
      </c>
    </row>
    <row r="54" spans="1:14" ht="24.95">
      <c r="A54" s="9">
        <v>53</v>
      </c>
      <c r="B54" s="11" t="s">
        <v>138</v>
      </c>
      <c r="C54" s="9" t="s">
        <v>123</v>
      </c>
      <c r="D54" s="11" t="s">
        <v>123</v>
      </c>
      <c r="E54" s="9" t="s">
        <v>82</v>
      </c>
      <c r="F54" s="9">
        <v>1</v>
      </c>
      <c r="G54" s="9">
        <v>1</v>
      </c>
      <c r="H54" s="9">
        <v>2</v>
      </c>
      <c r="I54" s="9">
        <v>1</v>
      </c>
      <c r="J54" s="9">
        <f t="shared" si="5"/>
        <v>1</v>
      </c>
      <c r="K54" s="12">
        <f t="shared" si="6"/>
        <v>1.25</v>
      </c>
      <c r="L54" s="12">
        <f t="shared" si="7"/>
        <v>1.1266560112231661</v>
      </c>
      <c r="M54" s="13">
        <f t="shared" si="8"/>
        <v>0.25</v>
      </c>
      <c r="N54" s="13">
        <f t="shared" si="9"/>
        <v>0.12665601122316605</v>
      </c>
    </row>
    <row r="55" spans="1:14">
      <c r="A55" s="9">
        <v>54</v>
      </c>
      <c r="B55" s="11" t="s">
        <v>139</v>
      </c>
      <c r="C55" s="9" t="s">
        <v>123</v>
      </c>
      <c r="D55" s="11" t="s">
        <v>123</v>
      </c>
      <c r="E55" s="9" t="s">
        <v>82</v>
      </c>
      <c r="F55" s="9">
        <v>2</v>
      </c>
      <c r="G55" s="9">
        <v>2</v>
      </c>
      <c r="H55" s="9">
        <v>3</v>
      </c>
      <c r="I55" s="9">
        <v>1</v>
      </c>
      <c r="J55" s="9">
        <f t="shared" si="5"/>
        <v>1</v>
      </c>
      <c r="K55" s="12">
        <f t="shared" si="6"/>
        <v>2</v>
      </c>
      <c r="L55" s="12">
        <f t="shared" si="7"/>
        <v>1.5932142718081432</v>
      </c>
      <c r="M55" s="13">
        <f t="shared" si="8"/>
        <v>1</v>
      </c>
      <c r="N55" s="13">
        <f t="shared" si="9"/>
        <v>0.59321427180814323</v>
      </c>
    </row>
    <row r="56" spans="1:14">
      <c r="A56" s="9">
        <v>55</v>
      </c>
      <c r="B56" s="11" t="s">
        <v>140</v>
      </c>
      <c r="C56" s="9" t="s">
        <v>123</v>
      </c>
      <c r="D56" s="11" t="s">
        <v>123</v>
      </c>
      <c r="E56" s="9" t="s">
        <v>82</v>
      </c>
      <c r="F56" s="9">
        <v>2</v>
      </c>
      <c r="G56" s="9">
        <v>2</v>
      </c>
      <c r="H56" s="9">
        <v>3</v>
      </c>
      <c r="I56" s="9">
        <v>1</v>
      </c>
      <c r="J56" s="9">
        <f t="shared" si="5"/>
        <v>1</v>
      </c>
      <c r="K56" s="12">
        <f t="shared" si="6"/>
        <v>2</v>
      </c>
      <c r="L56" s="12">
        <f t="shared" si="7"/>
        <v>1.5932142718081432</v>
      </c>
      <c r="M56" s="13">
        <f t="shared" si="8"/>
        <v>1</v>
      </c>
      <c r="N56" s="13">
        <f t="shared" si="9"/>
        <v>0.59321427180814323</v>
      </c>
    </row>
    <row r="57" spans="1:14">
      <c r="A57" s="9">
        <v>56</v>
      </c>
      <c r="B57" s="11" t="s">
        <v>141</v>
      </c>
      <c r="C57" s="9" t="s">
        <v>123</v>
      </c>
      <c r="D57" s="11" t="s">
        <v>123</v>
      </c>
      <c r="E57" s="9" t="s">
        <v>79</v>
      </c>
      <c r="F57" s="9">
        <v>1</v>
      </c>
      <c r="G57" s="9">
        <v>2</v>
      </c>
      <c r="H57" s="9">
        <v>2</v>
      </c>
      <c r="I57" s="9">
        <v>1</v>
      </c>
      <c r="J57" s="9">
        <f t="shared" si="5"/>
        <v>1</v>
      </c>
      <c r="K57" s="12">
        <f t="shared" si="6"/>
        <v>1.5</v>
      </c>
      <c r="L57" s="12">
        <f t="shared" si="7"/>
        <v>1.352018337821264</v>
      </c>
      <c r="M57" s="13">
        <f t="shared" si="8"/>
        <v>0.5</v>
      </c>
      <c r="N57" s="13">
        <f t="shared" si="9"/>
        <v>0.35201833782126402</v>
      </c>
    </row>
    <row r="58" spans="1:14">
      <c r="A58" s="9">
        <v>57</v>
      </c>
      <c r="B58" s="11" t="s">
        <v>142</v>
      </c>
      <c r="C58" s="9" t="s">
        <v>123</v>
      </c>
      <c r="D58" s="11" t="s">
        <v>123</v>
      </c>
      <c r="E58" s="9" t="s">
        <v>79</v>
      </c>
      <c r="F58" s="9">
        <v>2</v>
      </c>
      <c r="G58" s="9">
        <v>2</v>
      </c>
      <c r="H58" s="9">
        <v>3</v>
      </c>
      <c r="I58" s="9">
        <v>1</v>
      </c>
      <c r="J58" s="9">
        <f t="shared" si="5"/>
        <v>1</v>
      </c>
      <c r="K58" s="12">
        <f t="shared" si="6"/>
        <v>2</v>
      </c>
      <c r="L58" s="12">
        <f t="shared" si="7"/>
        <v>1.5932142718081432</v>
      </c>
      <c r="M58" s="13">
        <f t="shared" si="8"/>
        <v>1</v>
      </c>
      <c r="N58" s="13">
        <f t="shared" si="9"/>
        <v>0.59321427180814323</v>
      </c>
    </row>
    <row r="59" spans="1:14" ht="24.95">
      <c r="A59" s="9">
        <v>58</v>
      </c>
      <c r="B59" s="11" t="s">
        <v>143</v>
      </c>
      <c r="C59" s="9" t="s">
        <v>123</v>
      </c>
      <c r="D59" s="11" t="s">
        <v>123</v>
      </c>
      <c r="E59" s="9" t="s">
        <v>79</v>
      </c>
      <c r="F59" s="9">
        <v>2</v>
      </c>
      <c r="G59" s="9">
        <v>2</v>
      </c>
      <c r="H59" s="9">
        <v>3</v>
      </c>
      <c r="I59" s="9">
        <v>1</v>
      </c>
      <c r="J59" s="9">
        <f t="shared" si="5"/>
        <v>1</v>
      </c>
      <c r="K59" s="12">
        <f t="shared" si="6"/>
        <v>2</v>
      </c>
      <c r="L59" s="12">
        <f t="shared" si="7"/>
        <v>1.5932142718081432</v>
      </c>
      <c r="M59" s="13">
        <f t="shared" si="8"/>
        <v>1</v>
      </c>
      <c r="N59" s="13">
        <f t="shared" si="9"/>
        <v>0.59321427180814323</v>
      </c>
    </row>
    <row r="60" spans="1:14" ht="24.95">
      <c r="A60" s="9">
        <v>59</v>
      </c>
      <c r="B60" s="11" t="s">
        <v>144</v>
      </c>
      <c r="C60" s="9" t="s">
        <v>123</v>
      </c>
      <c r="D60" s="11" t="s">
        <v>123</v>
      </c>
      <c r="E60" s="9" t="s">
        <v>79</v>
      </c>
      <c r="F60" s="9">
        <v>2</v>
      </c>
      <c r="G60" s="9">
        <v>2</v>
      </c>
      <c r="H60" s="9">
        <v>3</v>
      </c>
      <c r="I60" s="9">
        <v>1</v>
      </c>
      <c r="J60" s="9">
        <f t="shared" si="5"/>
        <v>1</v>
      </c>
      <c r="K60" s="12">
        <f t="shared" si="6"/>
        <v>2</v>
      </c>
      <c r="L60" s="12">
        <f t="shared" si="7"/>
        <v>1.5932142718081432</v>
      </c>
      <c r="M60" s="13">
        <f t="shared" si="8"/>
        <v>1</v>
      </c>
      <c r="N60" s="13">
        <f t="shared" si="9"/>
        <v>0.59321427180814323</v>
      </c>
    </row>
    <row r="61" spans="1:14" ht="24.95">
      <c r="A61" s="9">
        <v>60</v>
      </c>
      <c r="B61" s="11" t="s">
        <v>145</v>
      </c>
      <c r="C61" s="9" t="s">
        <v>123</v>
      </c>
      <c r="D61" s="11" t="s">
        <v>123</v>
      </c>
      <c r="E61" s="9" t="s">
        <v>79</v>
      </c>
      <c r="F61" s="9">
        <v>2</v>
      </c>
      <c r="G61" s="9">
        <v>2</v>
      </c>
      <c r="H61" s="9">
        <v>2</v>
      </c>
      <c r="I61" s="9">
        <v>1</v>
      </c>
      <c r="J61" s="9">
        <f t="shared" si="5"/>
        <v>1</v>
      </c>
      <c r="K61" s="12">
        <f t="shared" si="6"/>
        <v>1.75</v>
      </c>
      <c r="L61" s="12">
        <f t="shared" si="7"/>
        <v>1.4665582605849761</v>
      </c>
      <c r="M61" s="13">
        <f t="shared" si="8"/>
        <v>0.75</v>
      </c>
      <c r="N61" s="13">
        <f t="shared" si="9"/>
        <v>0.46655826058497607</v>
      </c>
    </row>
    <row r="62" spans="1:14">
      <c r="A62" s="9">
        <v>61</v>
      </c>
      <c r="B62" s="11" t="s">
        <v>146</v>
      </c>
      <c r="C62" s="9" t="s">
        <v>123</v>
      </c>
      <c r="D62" s="11" t="s">
        <v>123</v>
      </c>
      <c r="E62" s="9" t="s">
        <v>79</v>
      </c>
      <c r="F62" s="9">
        <v>2</v>
      </c>
      <c r="G62" s="9">
        <v>2</v>
      </c>
      <c r="H62" s="9">
        <v>3</v>
      </c>
      <c r="I62" s="9">
        <v>1</v>
      </c>
      <c r="J62" s="9">
        <f t="shared" si="5"/>
        <v>1</v>
      </c>
      <c r="K62" s="12">
        <f t="shared" si="6"/>
        <v>2</v>
      </c>
      <c r="L62" s="12">
        <f t="shared" si="7"/>
        <v>1.5932142718081432</v>
      </c>
      <c r="M62" s="13">
        <f t="shared" si="8"/>
        <v>1</v>
      </c>
      <c r="N62" s="13">
        <f t="shared" si="9"/>
        <v>0.59321427180814323</v>
      </c>
    </row>
    <row r="63" spans="1:14" ht="24.95">
      <c r="A63" s="9">
        <v>62</v>
      </c>
      <c r="B63" s="11" t="s">
        <v>147</v>
      </c>
      <c r="C63" s="9" t="s">
        <v>123</v>
      </c>
      <c r="D63" s="11" t="s">
        <v>123</v>
      </c>
      <c r="E63" s="9" t="s">
        <v>89</v>
      </c>
      <c r="F63" s="9">
        <v>2</v>
      </c>
      <c r="G63" s="9">
        <v>2</v>
      </c>
      <c r="H63" s="9">
        <v>3</v>
      </c>
      <c r="I63" s="9">
        <v>1</v>
      </c>
      <c r="J63" s="9">
        <f t="shared" si="5"/>
        <v>1</v>
      </c>
      <c r="K63" s="12">
        <f t="shared" si="6"/>
        <v>2</v>
      </c>
      <c r="L63" s="12">
        <f t="shared" si="7"/>
        <v>1.5932142718081432</v>
      </c>
      <c r="M63" s="13">
        <f t="shared" si="8"/>
        <v>1</v>
      </c>
      <c r="N63" s="13">
        <f t="shared" si="9"/>
        <v>0.59321427180814323</v>
      </c>
    </row>
    <row r="64" spans="1:14" ht="24.95">
      <c r="A64" s="9">
        <v>63</v>
      </c>
      <c r="B64" s="11" t="s">
        <v>148</v>
      </c>
      <c r="C64" s="9" t="s">
        <v>123</v>
      </c>
      <c r="D64" s="11" t="s">
        <v>123</v>
      </c>
      <c r="E64" s="9" t="s">
        <v>89</v>
      </c>
      <c r="F64" s="9">
        <v>2</v>
      </c>
      <c r="G64" s="9">
        <v>2</v>
      </c>
      <c r="H64" s="9">
        <v>3</v>
      </c>
      <c r="I64" s="9">
        <v>1</v>
      </c>
      <c r="J64" s="9">
        <f t="shared" si="5"/>
        <v>1</v>
      </c>
      <c r="K64" s="12">
        <f t="shared" si="6"/>
        <v>2</v>
      </c>
      <c r="L64" s="12">
        <f t="shared" si="7"/>
        <v>1.5932142718081432</v>
      </c>
      <c r="M64" s="13">
        <f t="shared" si="8"/>
        <v>1</v>
      </c>
      <c r="N64" s="13">
        <f t="shared" si="9"/>
        <v>0.59321427180814323</v>
      </c>
    </row>
    <row r="65" spans="1:14" ht="24.95">
      <c r="A65" s="9">
        <v>64</v>
      </c>
      <c r="B65" s="11" t="s">
        <v>149</v>
      </c>
      <c r="C65" s="9" t="s">
        <v>123</v>
      </c>
      <c r="D65" s="11" t="s">
        <v>123</v>
      </c>
      <c r="E65" s="9" t="s">
        <v>82</v>
      </c>
      <c r="F65" s="9">
        <v>2</v>
      </c>
      <c r="G65" s="9">
        <v>2</v>
      </c>
      <c r="H65" s="9">
        <v>2</v>
      </c>
      <c r="I65" s="9">
        <v>1</v>
      </c>
      <c r="J65" s="9">
        <f t="shared" si="5"/>
        <v>1</v>
      </c>
      <c r="K65" s="12">
        <f t="shared" si="6"/>
        <v>1.75</v>
      </c>
      <c r="L65" s="12">
        <f t="shared" si="7"/>
        <v>1.4665582605849761</v>
      </c>
      <c r="M65" s="13">
        <f t="shared" si="8"/>
        <v>0.75</v>
      </c>
      <c r="N65" s="13">
        <f t="shared" si="9"/>
        <v>0.46655826058497607</v>
      </c>
    </row>
    <row r="66" spans="1:14" ht="24.95">
      <c r="A66" s="9">
        <v>65</v>
      </c>
      <c r="B66" s="11" t="s">
        <v>150</v>
      </c>
      <c r="C66" s="9" t="s">
        <v>123</v>
      </c>
      <c r="D66" s="11" t="s">
        <v>123</v>
      </c>
      <c r="E66" s="9" t="s">
        <v>79</v>
      </c>
      <c r="F66" s="9">
        <v>2</v>
      </c>
      <c r="G66" s="9">
        <v>1</v>
      </c>
      <c r="H66" s="9">
        <v>2</v>
      </c>
      <c r="I66" s="9">
        <v>1</v>
      </c>
      <c r="J66" s="9">
        <f t="shared" ref="J66:J97" si="10">MIN(F66:I66)</f>
        <v>1</v>
      </c>
      <c r="K66" s="12">
        <f t="shared" ref="K66:K79" si="11">AVERAGE(F66:I66)</f>
        <v>1.5</v>
      </c>
      <c r="L66" s="12">
        <f t="shared" ref="L66:L79" si="12">F66*0.114539922763712+G66*0.225362326598098+H66*0.126656011223167+I66*0.533441739415022</f>
        <v>1.2411959339868779</v>
      </c>
      <c r="M66" s="13">
        <f t="shared" ref="M66:M79" si="13">K66-J66</f>
        <v>0.5</v>
      </c>
      <c r="N66" s="13">
        <f t="shared" ref="N66:N79" si="14">L66-J66</f>
        <v>0.24119593398687789</v>
      </c>
    </row>
    <row r="67" spans="1:14" ht="24.95">
      <c r="A67" s="9">
        <v>66</v>
      </c>
      <c r="B67" s="11" t="s">
        <v>151</v>
      </c>
      <c r="C67" s="9" t="s">
        <v>123</v>
      </c>
      <c r="D67" s="11" t="s">
        <v>123</v>
      </c>
      <c r="E67" s="9" t="s">
        <v>79</v>
      </c>
      <c r="F67" s="9">
        <v>2</v>
      </c>
      <c r="G67" s="9">
        <v>2</v>
      </c>
      <c r="H67" s="9">
        <v>3</v>
      </c>
      <c r="I67" s="9">
        <v>1</v>
      </c>
      <c r="J67" s="9">
        <f t="shared" si="10"/>
        <v>1</v>
      </c>
      <c r="K67" s="12">
        <f t="shared" si="11"/>
        <v>2</v>
      </c>
      <c r="L67" s="12">
        <f t="shared" si="12"/>
        <v>1.5932142718081432</v>
      </c>
      <c r="M67" s="13">
        <f t="shared" si="13"/>
        <v>1</v>
      </c>
      <c r="N67" s="13">
        <f t="shared" si="14"/>
        <v>0.59321427180814323</v>
      </c>
    </row>
    <row r="68" spans="1:14" ht="37.5">
      <c r="A68" s="9">
        <v>67</v>
      </c>
      <c r="B68" s="11" t="s">
        <v>152</v>
      </c>
      <c r="C68" s="9" t="s">
        <v>123</v>
      </c>
      <c r="D68" s="11" t="s">
        <v>123</v>
      </c>
      <c r="E68" s="9" t="s">
        <v>89</v>
      </c>
      <c r="F68" s="9">
        <v>3</v>
      </c>
      <c r="G68" s="9">
        <v>2</v>
      </c>
      <c r="H68" s="9">
        <v>4</v>
      </c>
      <c r="I68" s="9">
        <v>1</v>
      </c>
      <c r="J68" s="9">
        <f t="shared" si="10"/>
        <v>1</v>
      </c>
      <c r="K68" s="12">
        <f t="shared" si="11"/>
        <v>2.5</v>
      </c>
      <c r="L68" s="12">
        <f t="shared" si="12"/>
        <v>1.834410205795022</v>
      </c>
      <c r="M68" s="13">
        <f t="shared" si="13"/>
        <v>1.5</v>
      </c>
      <c r="N68" s="13">
        <f t="shared" si="14"/>
        <v>0.83441020579502201</v>
      </c>
    </row>
    <row r="69" spans="1:14">
      <c r="A69" s="9">
        <v>68</v>
      </c>
      <c r="B69" s="11" t="s">
        <v>153</v>
      </c>
      <c r="C69" s="9" t="s">
        <v>123</v>
      </c>
      <c r="D69" s="11" t="s">
        <v>123</v>
      </c>
      <c r="E69" s="9" t="s">
        <v>82</v>
      </c>
      <c r="F69" s="9">
        <v>2</v>
      </c>
      <c r="G69" s="9">
        <v>2</v>
      </c>
      <c r="H69" s="9">
        <v>3</v>
      </c>
      <c r="I69" s="9">
        <v>2</v>
      </c>
      <c r="J69" s="9">
        <f t="shared" si="10"/>
        <v>2</v>
      </c>
      <c r="K69" s="12">
        <f t="shared" si="11"/>
        <v>2.25</v>
      </c>
      <c r="L69" s="12">
        <f t="shared" si="12"/>
        <v>2.1266560112231652</v>
      </c>
      <c r="M69" s="13">
        <f t="shared" si="13"/>
        <v>0.25</v>
      </c>
      <c r="N69" s="13">
        <f t="shared" si="14"/>
        <v>0.12665601122316517</v>
      </c>
    </row>
    <row r="70" spans="1:14">
      <c r="A70" s="9">
        <v>69</v>
      </c>
      <c r="B70" s="11" t="s">
        <v>154</v>
      </c>
      <c r="C70" s="9" t="s">
        <v>123</v>
      </c>
      <c r="D70" s="11" t="s">
        <v>123</v>
      </c>
      <c r="E70" s="9" t="s">
        <v>82</v>
      </c>
      <c r="F70" s="9">
        <v>1</v>
      </c>
      <c r="G70" s="9">
        <v>1</v>
      </c>
      <c r="H70" s="9">
        <v>2</v>
      </c>
      <c r="I70" s="9">
        <v>1</v>
      </c>
      <c r="J70" s="9">
        <f t="shared" si="10"/>
        <v>1</v>
      </c>
      <c r="K70" s="12">
        <f t="shared" si="11"/>
        <v>1.25</v>
      </c>
      <c r="L70" s="12">
        <f t="shared" si="12"/>
        <v>1.1266560112231661</v>
      </c>
      <c r="M70" s="13">
        <f t="shared" si="13"/>
        <v>0.25</v>
      </c>
      <c r="N70" s="13">
        <f t="shared" si="14"/>
        <v>0.12665601122316605</v>
      </c>
    </row>
    <row r="71" spans="1:14">
      <c r="A71" s="9">
        <v>70</v>
      </c>
      <c r="B71" s="11" t="s">
        <v>155</v>
      </c>
      <c r="C71" s="9" t="s">
        <v>123</v>
      </c>
      <c r="D71" s="11" t="s">
        <v>123</v>
      </c>
      <c r="E71" s="9" t="s">
        <v>82</v>
      </c>
      <c r="F71" s="9">
        <v>2</v>
      </c>
      <c r="G71" s="9">
        <v>1</v>
      </c>
      <c r="H71" s="9">
        <v>2</v>
      </c>
      <c r="I71" s="9">
        <v>1</v>
      </c>
      <c r="J71" s="9">
        <f t="shared" si="10"/>
        <v>1</v>
      </c>
      <c r="K71" s="12">
        <f t="shared" si="11"/>
        <v>1.5</v>
      </c>
      <c r="L71" s="12">
        <f t="shared" si="12"/>
        <v>1.2411959339868779</v>
      </c>
      <c r="M71" s="13">
        <f t="shared" si="13"/>
        <v>0.5</v>
      </c>
      <c r="N71" s="13">
        <f t="shared" si="14"/>
        <v>0.24119593398687789</v>
      </c>
    </row>
    <row r="72" spans="1:14" ht="24.95">
      <c r="A72" s="9">
        <v>71</v>
      </c>
      <c r="B72" s="11" t="s">
        <v>156</v>
      </c>
      <c r="C72" s="9" t="s">
        <v>123</v>
      </c>
      <c r="D72" s="11" t="s">
        <v>123</v>
      </c>
      <c r="E72" s="9" t="s">
        <v>82</v>
      </c>
      <c r="F72" s="9">
        <v>2</v>
      </c>
      <c r="G72" s="9">
        <v>2</v>
      </c>
      <c r="H72" s="9">
        <v>3</v>
      </c>
      <c r="I72" s="9">
        <v>1</v>
      </c>
      <c r="J72" s="9">
        <f t="shared" si="10"/>
        <v>1</v>
      </c>
      <c r="K72" s="12">
        <f t="shared" si="11"/>
        <v>2</v>
      </c>
      <c r="L72" s="12">
        <f t="shared" si="12"/>
        <v>1.5932142718081432</v>
      </c>
      <c r="M72" s="13">
        <f t="shared" si="13"/>
        <v>1</v>
      </c>
      <c r="N72" s="13">
        <f t="shared" si="14"/>
        <v>0.59321427180814323</v>
      </c>
    </row>
    <row r="73" spans="1:14">
      <c r="A73" s="9">
        <v>72</v>
      </c>
      <c r="B73" s="11" t="s">
        <v>157</v>
      </c>
      <c r="C73" s="9" t="s">
        <v>123</v>
      </c>
      <c r="D73" s="11" t="s">
        <v>123</v>
      </c>
      <c r="E73" s="9" t="s">
        <v>82</v>
      </c>
      <c r="F73" s="9">
        <v>2</v>
      </c>
      <c r="G73" s="9">
        <v>2</v>
      </c>
      <c r="H73" s="9">
        <v>3</v>
      </c>
      <c r="I73" s="9">
        <v>2</v>
      </c>
      <c r="J73" s="9">
        <f t="shared" si="10"/>
        <v>2</v>
      </c>
      <c r="K73" s="12">
        <f t="shared" si="11"/>
        <v>2.25</v>
      </c>
      <c r="L73" s="12">
        <f t="shared" si="12"/>
        <v>2.1266560112231652</v>
      </c>
      <c r="M73" s="13">
        <f t="shared" si="13"/>
        <v>0.25</v>
      </c>
      <c r="N73" s="13">
        <f t="shared" si="14"/>
        <v>0.12665601122316517</v>
      </c>
    </row>
    <row r="74" spans="1:14" ht="24.95">
      <c r="A74" s="9">
        <v>73</v>
      </c>
      <c r="B74" s="11" t="s">
        <v>158</v>
      </c>
      <c r="C74" s="9" t="s">
        <v>123</v>
      </c>
      <c r="D74" s="11" t="s">
        <v>123</v>
      </c>
      <c r="E74" s="9" t="s">
        <v>89</v>
      </c>
      <c r="F74" s="9">
        <v>2</v>
      </c>
      <c r="G74" s="9">
        <v>1</v>
      </c>
      <c r="H74" s="9">
        <v>2</v>
      </c>
      <c r="I74" s="9">
        <v>3</v>
      </c>
      <c r="J74" s="9">
        <f t="shared" si="10"/>
        <v>1</v>
      </c>
      <c r="K74" s="12">
        <f t="shared" si="11"/>
        <v>2</v>
      </c>
      <c r="L74" s="12">
        <f t="shared" si="12"/>
        <v>2.3080794128169222</v>
      </c>
      <c r="M74" s="13">
        <f t="shared" si="13"/>
        <v>1</v>
      </c>
      <c r="N74" s="13">
        <f t="shared" si="14"/>
        <v>1.3080794128169222</v>
      </c>
    </row>
    <row r="75" spans="1:14" ht="24.95">
      <c r="A75" s="9">
        <v>74</v>
      </c>
      <c r="B75" s="11" t="s">
        <v>159</v>
      </c>
      <c r="C75" s="9" t="s">
        <v>123</v>
      </c>
      <c r="D75" s="11" t="s">
        <v>123</v>
      </c>
      <c r="E75" s="9" t="s">
        <v>89</v>
      </c>
      <c r="F75" s="9">
        <v>1</v>
      </c>
      <c r="G75" s="9">
        <v>1</v>
      </c>
      <c r="H75" s="9">
        <v>2</v>
      </c>
      <c r="I75" s="9">
        <v>1</v>
      </c>
      <c r="J75" s="9">
        <f t="shared" si="10"/>
        <v>1</v>
      </c>
      <c r="K75" s="12">
        <f t="shared" si="11"/>
        <v>1.25</v>
      </c>
      <c r="L75" s="12">
        <f t="shared" si="12"/>
        <v>1.1266560112231661</v>
      </c>
      <c r="M75" s="13">
        <f t="shared" si="13"/>
        <v>0.25</v>
      </c>
      <c r="N75" s="13">
        <f t="shared" si="14"/>
        <v>0.12665601122316605</v>
      </c>
    </row>
    <row r="76" spans="1:14" ht="24.95">
      <c r="A76" s="9">
        <v>75</v>
      </c>
      <c r="B76" s="11" t="s">
        <v>160</v>
      </c>
      <c r="C76" s="9" t="s">
        <v>123</v>
      </c>
      <c r="D76" s="11" t="s">
        <v>123</v>
      </c>
      <c r="E76" s="9" t="s">
        <v>82</v>
      </c>
      <c r="F76" s="9">
        <v>3</v>
      </c>
      <c r="G76" s="9">
        <v>2</v>
      </c>
      <c r="H76" s="9">
        <v>3</v>
      </c>
      <c r="I76" s="9">
        <v>2</v>
      </c>
      <c r="J76" s="9">
        <f t="shared" si="10"/>
        <v>2</v>
      </c>
      <c r="K76" s="12">
        <f t="shared" si="11"/>
        <v>2.5</v>
      </c>
      <c r="L76" s="12">
        <f t="shared" si="12"/>
        <v>2.241195933986877</v>
      </c>
      <c r="M76" s="13">
        <f t="shared" si="13"/>
        <v>0.5</v>
      </c>
      <c r="N76" s="13">
        <f t="shared" si="14"/>
        <v>0.241195933986877</v>
      </c>
    </row>
    <row r="77" spans="1:14">
      <c r="A77" s="9">
        <v>76</v>
      </c>
      <c r="B77" s="11" t="s">
        <v>161</v>
      </c>
      <c r="C77" s="9" t="s">
        <v>123</v>
      </c>
      <c r="D77" s="11" t="s">
        <v>123</v>
      </c>
      <c r="E77" s="9" t="s">
        <v>82</v>
      </c>
      <c r="F77" s="9">
        <v>3</v>
      </c>
      <c r="G77" s="9">
        <v>2</v>
      </c>
      <c r="H77" s="9">
        <v>3</v>
      </c>
      <c r="I77" s="9">
        <v>2</v>
      </c>
      <c r="J77" s="9">
        <f t="shared" si="10"/>
        <v>2</v>
      </c>
      <c r="K77" s="12">
        <f t="shared" si="11"/>
        <v>2.5</v>
      </c>
      <c r="L77" s="12">
        <f t="shared" si="12"/>
        <v>2.241195933986877</v>
      </c>
      <c r="M77" s="13">
        <f t="shared" si="13"/>
        <v>0.5</v>
      </c>
      <c r="N77" s="13">
        <f t="shared" si="14"/>
        <v>0.241195933986877</v>
      </c>
    </row>
    <row r="78" spans="1:14">
      <c r="A78" s="9">
        <v>77</v>
      </c>
      <c r="B78" s="11" t="s">
        <v>162</v>
      </c>
      <c r="C78" s="9" t="s">
        <v>123</v>
      </c>
      <c r="D78" s="11" t="s">
        <v>123</v>
      </c>
      <c r="E78" s="9" t="s">
        <v>82</v>
      </c>
      <c r="F78" s="9">
        <v>2</v>
      </c>
      <c r="G78" s="9">
        <v>2</v>
      </c>
      <c r="H78" s="9">
        <v>3</v>
      </c>
      <c r="I78" s="9">
        <v>2</v>
      </c>
      <c r="J78" s="9">
        <f t="shared" si="10"/>
        <v>2</v>
      </c>
      <c r="K78" s="12">
        <f t="shared" si="11"/>
        <v>2.25</v>
      </c>
      <c r="L78" s="12">
        <f t="shared" si="12"/>
        <v>2.1266560112231652</v>
      </c>
      <c r="M78" s="13">
        <f t="shared" si="13"/>
        <v>0.25</v>
      </c>
      <c r="N78" s="13">
        <f t="shared" si="14"/>
        <v>0.12665601122316517</v>
      </c>
    </row>
    <row r="79" spans="1:14">
      <c r="A79" s="9">
        <v>78</v>
      </c>
      <c r="B79" s="11" t="s">
        <v>163</v>
      </c>
      <c r="C79" s="9" t="s">
        <v>123</v>
      </c>
      <c r="D79" s="11" t="s">
        <v>123</v>
      </c>
      <c r="E79" s="9" t="s">
        <v>82</v>
      </c>
      <c r="F79" s="9">
        <v>3</v>
      </c>
      <c r="G79" s="9">
        <v>2</v>
      </c>
      <c r="H79" s="9">
        <v>3</v>
      </c>
      <c r="I79" s="9">
        <v>2</v>
      </c>
      <c r="J79" s="9">
        <f t="shared" si="10"/>
        <v>2</v>
      </c>
      <c r="K79" s="12">
        <f t="shared" si="11"/>
        <v>2.5</v>
      </c>
      <c r="L79" s="12">
        <f t="shared" si="12"/>
        <v>2.241195933986877</v>
      </c>
      <c r="M79" s="13">
        <f t="shared" si="13"/>
        <v>0.5</v>
      </c>
      <c r="N79" s="13">
        <f t="shared" si="14"/>
        <v>0.241195933986877</v>
      </c>
    </row>
    <row r="81" spans="1:14" ht="26.1">
      <c r="A81" s="10" t="s">
        <v>164</v>
      </c>
      <c r="B81" s="14"/>
      <c r="C81" s="14"/>
      <c r="D81" s="14"/>
      <c r="E81" s="14"/>
      <c r="F81" s="14"/>
      <c r="G81" s="14"/>
      <c r="H81" s="14"/>
      <c r="I81" s="14"/>
      <c r="J81" s="14"/>
      <c r="K81" s="14"/>
      <c r="L81" s="14"/>
      <c r="M81" s="14"/>
      <c r="N81" s="14"/>
    </row>
    <row r="82" spans="1:14">
      <c r="A82" s="10" t="s">
        <v>46</v>
      </c>
      <c r="B82" s="14"/>
      <c r="C82" s="14"/>
      <c r="D82" s="14"/>
      <c r="E82" s="14"/>
      <c r="F82" s="15">
        <f t="shared" ref="F82:L82" si="15">AVERAGE(F2:F79)</f>
        <v>2.3461538461538463</v>
      </c>
      <c r="G82" s="15">
        <f t="shared" si="15"/>
        <v>2.3974358974358974</v>
      </c>
      <c r="H82" s="15">
        <f t="shared" si="15"/>
        <v>3.2051282051282053</v>
      </c>
      <c r="I82" s="15">
        <f t="shared" si="15"/>
        <v>1.6794871794871795</v>
      </c>
      <c r="J82" s="15">
        <f t="shared" si="15"/>
        <v>1.358974358974359</v>
      </c>
      <c r="K82" s="15">
        <f t="shared" si="15"/>
        <v>2.4070512820512819</v>
      </c>
      <c r="L82" s="15">
        <f t="shared" si="15"/>
        <v>2.1108773283174758</v>
      </c>
      <c r="M82" s="14"/>
      <c r="N82" s="14"/>
    </row>
    <row r="83" spans="1:14">
      <c r="A83" s="10" t="s">
        <v>165</v>
      </c>
      <c r="B83" s="14"/>
      <c r="C83" s="14"/>
      <c r="D83" s="14"/>
      <c r="E83" s="14"/>
      <c r="F83" s="15">
        <f t="shared" ref="F83:L83" si="16">STDEV(F2:F79)</f>
        <v>0.66110735668493115</v>
      </c>
      <c r="G83" s="15">
        <f t="shared" si="16"/>
        <v>0.98481646506517651</v>
      </c>
      <c r="H83" s="15">
        <f t="shared" si="16"/>
        <v>0.99816681789017436</v>
      </c>
      <c r="I83" s="15">
        <f t="shared" si="16"/>
        <v>1.1787467452527236</v>
      </c>
      <c r="J83" s="15">
        <f t="shared" si="16"/>
        <v>0.64414161091984656</v>
      </c>
      <c r="K83" s="15">
        <f t="shared" si="16"/>
        <v>0.70146990192739056</v>
      </c>
      <c r="L83" s="15">
        <f t="shared" si="16"/>
        <v>0.76769284716432962</v>
      </c>
      <c r="M83" s="14"/>
      <c r="N83" s="14"/>
    </row>
    <row r="84" spans="1:14">
      <c r="A84" s="10" t="s">
        <v>166</v>
      </c>
      <c r="B84" s="14"/>
      <c r="C84" s="14"/>
      <c r="D84" s="14"/>
      <c r="E84" s="14"/>
      <c r="F84" s="15">
        <f t="shared" ref="F84:L84" si="17">MIN(F2:F79)</f>
        <v>1</v>
      </c>
      <c r="G84" s="15">
        <f t="shared" si="17"/>
        <v>1</v>
      </c>
      <c r="H84" s="15">
        <f t="shared" si="17"/>
        <v>2</v>
      </c>
      <c r="I84" s="15">
        <f t="shared" si="17"/>
        <v>1</v>
      </c>
      <c r="J84" s="15">
        <f t="shared" si="17"/>
        <v>1</v>
      </c>
      <c r="K84" s="15">
        <f t="shared" si="17"/>
        <v>1.25</v>
      </c>
      <c r="L84" s="15">
        <f t="shared" si="17"/>
        <v>1.1266560112231661</v>
      </c>
      <c r="M84" s="14"/>
      <c r="N84" s="14"/>
    </row>
    <row r="85" spans="1:14">
      <c r="A85" s="10" t="s">
        <v>167</v>
      </c>
      <c r="B85" s="14"/>
      <c r="C85" s="14"/>
      <c r="D85" s="14"/>
      <c r="E85" s="14"/>
      <c r="F85" s="15">
        <f t="shared" ref="F85:L85" si="18">MAX(F2:F79)</f>
        <v>4</v>
      </c>
      <c r="G85" s="15">
        <f t="shared" si="18"/>
        <v>4</v>
      </c>
      <c r="H85" s="15">
        <f t="shared" si="18"/>
        <v>5</v>
      </c>
      <c r="I85" s="15">
        <f t="shared" si="18"/>
        <v>5</v>
      </c>
      <c r="J85" s="15">
        <f t="shared" si="18"/>
        <v>3</v>
      </c>
      <c r="K85" s="15">
        <f t="shared" si="18"/>
        <v>3.75</v>
      </c>
      <c r="L85" s="15">
        <f t="shared" si="18"/>
        <v>4.2922458054281396</v>
      </c>
      <c r="M85" s="14"/>
      <c r="N85" s="14"/>
    </row>
  </sheetData>
  <conditionalFormatting sqref="J2:L79">
    <cfRule type="colorScale" priority="2">
      <colorScale>
        <cfvo type="num" val="1"/>
        <cfvo type="num" val="3"/>
        <cfvo type="num" val="5"/>
        <color rgb="FFF8696B"/>
        <color rgb="FFFFEB84"/>
        <color rgb="FF63BE7B"/>
      </colorScale>
    </cfRule>
  </conditionalFormatting>
  <pageMargins left="0.75" right="0.75" top="1" bottom="1" header="0.511811023622047" footer="0.511811023622047"/>
  <pageSetup paperSize="9" orientation="portrait" horizontalDpi="300" verticalDpi="300"/>
  <legacy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G22"/>
  <sheetViews>
    <sheetView zoomScaleNormal="100" workbookViewId="0"/>
  </sheetViews>
  <sheetFormatPr defaultColWidth="8.5703125" defaultRowHeight="14.45"/>
  <cols>
    <col min="1" max="1" width="16" customWidth="1"/>
    <col min="2" max="2" width="15" customWidth="1"/>
    <col min="3" max="3" width="12" customWidth="1"/>
    <col min="4" max="4" width="18" customWidth="1"/>
    <col min="5" max="5" width="14" customWidth="1"/>
    <col min="6" max="6" width="18" customWidth="1"/>
    <col min="7" max="7" width="14" customWidth="1"/>
  </cols>
  <sheetData>
    <row r="1" spans="1:7" ht="18">
      <c r="A1" s="23" t="s">
        <v>168</v>
      </c>
      <c r="B1" s="23"/>
      <c r="C1" s="23"/>
      <c r="D1" s="23"/>
      <c r="E1" s="23"/>
      <c r="F1" s="23"/>
    </row>
    <row r="3" spans="1:7" ht="27.95">
      <c r="A3" s="8" t="s">
        <v>169</v>
      </c>
      <c r="B3" s="8" t="s">
        <v>170</v>
      </c>
      <c r="C3" s="8" t="s">
        <v>171</v>
      </c>
      <c r="D3" s="8" t="s">
        <v>172</v>
      </c>
      <c r="E3" s="8" t="s">
        <v>173</v>
      </c>
      <c r="F3" s="8" t="s">
        <v>174</v>
      </c>
      <c r="G3" s="8" t="s">
        <v>175</v>
      </c>
    </row>
    <row r="4" spans="1:7">
      <c r="A4" s="9" t="s">
        <v>176</v>
      </c>
      <c r="B4" s="9">
        <v>57</v>
      </c>
      <c r="C4" s="16">
        <f t="shared" ref="C4:C11" si="0">B4/78</f>
        <v>0.73076923076923073</v>
      </c>
      <c r="D4" s="9">
        <v>3</v>
      </c>
      <c r="E4" s="16">
        <f t="shared" ref="E4:E11" si="1">D4/78</f>
        <v>3.8461538461538464E-2</v>
      </c>
      <c r="F4" s="9">
        <v>13</v>
      </c>
      <c r="G4" s="16">
        <f t="shared" ref="G4:G11" si="2">F4/78</f>
        <v>0.16666666666666666</v>
      </c>
    </row>
    <row r="5" spans="1:7">
      <c r="A5" s="9" t="s">
        <v>177</v>
      </c>
      <c r="B5" s="9">
        <v>0</v>
      </c>
      <c r="C5" s="16">
        <f t="shared" si="0"/>
        <v>0</v>
      </c>
      <c r="D5" s="9">
        <v>13</v>
      </c>
      <c r="E5" s="16">
        <f t="shared" si="1"/>
        <v>0.16666666666666666</v>
      </c>
      <c r="F5" s="9">
        <v>25</v>
      </c>
      <c r="G5" s="16">
        <f t="shared" si="2"/>
        <v>0.32051282051282054</v>
      </c>
    </row>
    <row r="6" spans="1:7">
      <c r="A6" s="9" t="s">
        <v>178</v>
      </c>
      <c r="B6" s="9">
        <v>14</v>
      </c>
      <c r="C6" s="16">
        <f t="shared" si="0"/>
        <v>0.17948717948717949</v>
      </c>
      <c r="D6" s="9">
        <v>29</v>
      </c>
      <c r="E6" s="16">
        <f t="shared" si="1"/>
        <v>0.37179487179487181</v>
      </c>
      <c r="F6" s="9">
        <v>28</v>
      </c>
      <c r="G6" s="16">
        <f t="shared" si="2"/>
        <v>0.35897435897435898</v>
      </c>
    </row>
    <row r="7" spans="1:7">
      <c r="A7" s="9" t="s">
        <v>179</v>
      </c>
      <c r="B7" s="9">
        <v>0</v>
      </c>
      <c r="C7" s="16">
        <f t="shared" si="0"/>
        <v>0</v>
      </c>
      <c r="D7" s="9">
        <v>8</v>
      </c>
      <c r="E7" s="16">
        <f t="shared" si="1"/>
        <v>0.10256410256410256</v>
      </c>
      <c r="F7" s="9">
        <v>2</v>
      </c>
      <c r="G7" s="16">
        <f t="shared" si="2"/>
        <v>2.564102564102564E-2</v>
      </c>
    </row>
    <row r="8" spans="1:7">
      <c r="A8" s="9" t="s">
        <v>180</v>
      </c>
      <c r="B8" s="9">
        <v>7</v>
      </c>
      <c r="C8" s="16">
        <f t="shared" si="0"/>
        <v>8.9743589743589744E-2</v>
      </c>
      <c r="D8" s="9">
        <v>19</v>
      </c>
      <c r="E8" s="16">
        <f t="shared" si="1"/>
        <v>0.24358974358974358</v>
      </c>
      <c r="F8" s="9">
        <v>3</v>
      </c>
      <c r="G8" s="16">
        <f t="shared" si="2"/>
        <v>3.8461538461538464E-2</v>
      </c>
    </row>
    <row r="9" spans="1:7">
      <c r="A9" s="9" t="s">
        <v>181</v>
      </c>
      <c r="B9" s="9">
        <v>0</v>
      </c>
      <c r="C9" s="16">
        <f t="shared" si="0"/>
        <v>0</v>
      </c>
      <c r="D9" s="9">
        <v>6</v>
      </c>
      <c r="E9" s="16">
        <f t="shared" si="1"/>
        <v>7.6923076923076927E-2</v>
      </c>
      <c r="F9" s="9">
        <v>3</v>
      </c>
      <c r="G9" s="16">
        <f t="shared" si="2"/>
        <v>3.8461538461538464E-2</v>
      </c>
    </row>
    <row r="10" spans="1:7">
      <c r="A10" s="9" t="s">
        <v>182</v>
      </c>
      <c r="B10" s="9">
        <v>0</v>
      </c>
      <c r="C10" s="16">
        <f t="shared" si="0"/>
        <v>0</v>
      </c>
      <c r="D10" s="9">
        <v>0</v>
      </c>
      <c r="E10" s="16">
        <f t="shared" si="1"/>
        <v>0</v>
      </c>
      <c r="F10" s="9">
        <v>4</v>
      </c>
      <c r="G10" s="16">
        <f t="shared" si="2"/>
        <v>5.128205128205128E-2</v>
      </c>
    </row>
    <row r="11" spans="1:7">
      <c r="A11" s="9" t="s">
        <v>183</v>
      </c>
      <c r="B11" s="9">
        <v>0</v>
      </c>
      <c r="C11" s="16">
        <f t="shared" si="0"/>
        <v>0</v>
      </c>
      <c r="D11" s="9">
        <v>0</v>
      </c>
      <c r="E11" s="16">
        <f t="shared" si="1"/>
        <v>0</v>
      </c>
      <c r="F11" s="9">
        <v>0</v>
      </c>
      <c r="G11" s="16">
        <f t="shared" si="2"/>
        <v>0</v>
      </c>
    </row>
    <row r="12" spans="1:7">
      <c r="A12" s="10" t="s">
        <v>64</v>
      </c>
      <c r="B12" s="10">
        <f t="shared" ref="B12:G12" si="3">SUM(B4:B11)</f>
        <v>78</v>
      </c>
      <c r="C12" s="17">
        <f t="shared" si="3"/>
        <v>1</v>
      </c>
      <c r="D12" s="10">
        <f t="shared" si="3"/>
        <v>78</v>
      </c>
      <c r="E12" s="17">
        <f t="shared" si="3"/>
        <v>1</v>
      </c>
      <c r="F12" s="10">
        <f t="shared" si="3"/>
        <v>78</v>
      </c>
      <c r="G12" s="17">
        <f t="shared" si="3"/>
        <v>1</v>
      </c>
    </row>
    <row r="14" spans="1:7">
      <c r="A14" s="2" t="s">
        <v>184</v>
      </c>
    </row>
    <row r="15" spans="1:7">
      <c r="A15" s="8" t="s">
        <v>185</v>
      </c>
      <c r="B15" s="8" t="s">
        <v>186</v>
      </c>
      <c r="C15" s="8"/>
      <c r="D15" s="8" t="s">
        <v>72</v>
      </c>
      <c r="E15" s="8"/>
      <c r="F15" s="8" t="s">
        <v>73</v>
      </c>
      <c r="G15" s="8"/>
    </row>
    <row r="16" spans="1:7">
      <c r="A16" s="9" t="s">
        <v>46</v>
      </c>
      <c r="B16" s="9">
        <v>1.359</v>
      </c>
      <c r="C16" s="9"/>
      <c r="D16" s="9">
        <v>2.407</v>
      </c>
      <c r="E16" s="9"/>
      <c r="F16" s="9">
        <v>2.1110000000000002</v>
      </c>
      <c r="G16" s="9"/>
    </row>
    <row r="17" spans="1:7">
      <c r="A17" s="9" t="s">
        <v>165</v>
      </c>
      <c r="B17" s="9">
        <v>0.64400000000000002</v>
      </c>
      <c r="C17" s="9"/>
      <c r="D17" s="9">
        <v>0.70099999999999996</v>
      </c>
      <c r="E17" s="9"/>
      <c r="F17" s="9">
        <v>0.76800000000000002</v>
      </c>
      <c r="G17" s="9"/>
    </row>
    <row r="18" spans="1:7">
      <c r="A18" s="9" t="s">
        <v>187</v>
      </c>
      <c r="B18" s="9">
        <v>1</v>
      </c>
      <c r="C18" s="9"/>
      <c r="D18" s="9">
        <v>2.125</v>
      </c>
      <c r="E18" s="9"/>
      <c r="F18" s="9">
        <v>2.06</v>
      </c>
      <c r="G18" s="9"/>
    </row>
    <row r="19" spans="1:7">
      <c r="A19" s="9" t="s">
        <v>166</v>
      </c>
      <c r="B19" s="9">
        <v>1</v>
      </c>
      <c r="C19" s="9"/>
      <c r="D19" s="9">
        <v>1.25</v>
      </c>
      <c r="E19" s="9"/>
      <c r="F19" s="9">
        <v>1.127</v>
      </c>
      <c r="G19" s="9"/>
    </row>
    <row r="20" spans="1:7">
      <c r="A20" s="9" t="s">
        <v>167</v>
      </c>
      <c r="B20" s="9">
        <v>3</v>
      </c>
      <c r="C20" s="9"/>
      <c r="D20" s="9">
        <v>3.75</v>
      </c>
      <c r="E20" s="9"/>
      <c r="F20" s="9">
        <v>4.2919999999999998</v>
      </c>
      <c r="G20" s="9"/>
    </row>
    <row r="22" spans="1:7" ht="75" customHeight="1">
      <c r="A22" s="21" t="s">
        <v>188</v>
      </c>
      <c r="B22" s="21"/>
      <c r="C22" s="21"/>
      <c r="D22" s="21"/>
      <c r="E22" s="21"/>
      <c r="F22" s="21"/>
      <c r="G22" s="21"/>
    </row>
  </sheetData>
  <mergeCells count="2">
    <mergeCell ref="A1:F1"/>
    <mergeCell ref="A22:G22"/>
  </mergeCells>
  <pageMargins left="0.75" right="0.75" top="1" bottom="1" header="0.511811023622047" footer="0.511811023622047"/>
  <pageSetup paperSize="9" orientation="portrait" horizontalDpi="300" verticalDpi="30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F10"/>
  <sheetViews>
    <sheetView zoomScaleNormal="100" workbookViewId="0"/>
  </sheetViews>
  <sheetFormatPr defaultColWidth="8.5703125" defaultRowHeight="14.45"/>
  <cols>
    <col min="1" max="1" width="35" customWidth="1"/>
    <col min="2" max="2" width="38" customWidth="1"/>
    <col min="3" max="5" width="32" customWidth="1"/>
    <col min="6" max="6" width="50" customWidth="1"/>
  </cols>
  <sheetData>
    <row r="1" spans="1:6" ht="18">
      <c r="A1" s="23" t="s">
        <v>189</v>
      </c>
      <c r="B1" s="23"/>
      <c r="C1" s="23"/>
      <c r="D1" s="23"/>
      <c r="E1" s="23"/>
      <c r="F1" s="23"/>
    </row>
    <row r="2" spans="1:6">
      <c r="A2" s="24" t="s">
        <v>190</v>
      </c>
      <c r="B2" s="24"/>
      <c r="C2" s="24"/>
      <c r="D2" s="24"/>
      <c r="E2" s="24"/>
      <c r="F2" s="24"/>
    </row>
    <row r="4" spans="1:6">
      <c r="A4" s="8" t="s">
        <v>191</v>
      </c>
      <c r="B4" s="8" t="s">
        <v>192</v>
      </c>
      <c r="C4" s="8" t="s">
        <v>193</v>
      </c>
      <c r="D4" s="8" t="s">
        <v>194</v>
      </c>
      <c r="E4" s="8" t="s">
        <v>195</v>
      </c>
      <c r="F4" s="8" t="s">
        <v>196</v>
      </c>
    </row>
    <row r="5" spans="1:6" ht="109.5" customHeight="1">
      <c r="A5" s="18" t="s">
        <v>197</v>
      </c>
      <c r="B5" s="11" t="s">
        <v>198</v>
      </c>
      <c r="C5" s="11" t="s">
        <v>199</v>
      </c>
      <c r="D5" s="11" t="s">
        <v>200</v>
      </c>
      <c r="E5" s="11" t="s">
        <v>201</v>
      </c>
      <c r="F5" s="11" t="s">
        <v>202</v>
      </c>
    </row>
    <row r="6" spans="1:6" ht="109.5" customHeight="1">
      <c r="A6" s="18" t="s">
        <v>203</v>
      </c>
      <c r="B6" s="11" t="s">
        <v>204</v>
      </c>
      <c r="C6" s="11" t="s">
        <v>205</v>
      </c>
      <c r="D6" s="11" t="s">
        <v>206</v>
      </c>
      <c r="E6" s="11" t="s">
        <v>207</v>
      </c>
      <c r="F6" s="11" t="s">
        <v>208</v>
      </c>
    </row>
    <row r="7" spans="1:6" ht="109.5" customHeight="1">
      <c r="A7" s="18" t="s">
        <v>209</v>
      </c>
      <c r="B7" s="11" t="s">
        <v>210</v>
      </c>
      <c r="C7" s="11" t="s">
        <v>211</v>
      </c>
      <c r="D7" s="11" t="s">
        <v>212</v>
      </c>
      <c r="E7" s="11" t="s">
        <v>213</v>
      </c>
      <c r="F7" s="11" t="s">
        <v>214</v>
      </c>
    </row>
    <row r="8" spans="1:6" ht="109.5" customHeight="1">
      <c r="A8" s="18" t="s">
        <v>215</v>
      </c>
      <c r="B8" s="11" t="s">
        <v>216</v>
      </c>
      <c r="C8" s="11" t="s">
        <v>217</v>
      </c>
      <c r="D8" s="11" t="s">
        <v>218</v>
      </c>
      <c r="E8" s="11" t="s">
        <v>219</v>
      </c>
      <c r="F8" s="11" t="s">
        <v>220</v>
      </c>
    </row>
    <row r="9" spans="1:6" ht="109.5" customHeight="1">
      <c r="A9" s="18" t="s">
        <v>221</v>
      </c>
      <c r="B9" s="11" t="s">
        <v>222</v>
      </c>
      <c r="C9" s="11" t="s">
        <v>223</v>
      </c>
      <c r="D9" s="11" t="s">
        <v>224</v>
      </c>
      <c r="E9" s="11" t="s">
        <v>224</v>
      </c>
      <c r="F9" s="11" t="s">
        <v>225</v>
      </c>
    </row>
    <row r="10" spans="1:6" ht="109.5" customHeight="1">
      <c r="A10" s="18" t="s">
        <v>226</v>
      </c>
      <c r="B10" s="11" t="s">
        <v>227</v>
      </c>
      <c r="C10" s="11" t="s">
        <v>228</v>
      </c>
      <c r="D10" s="11" t="s">
        <v>229</v>
      </c>
      <c r="E10" s="11" t="s">
        <v>230</v>
      </c>
      <c r="F10" s="11" t="s">
        <v>231</v>
      </c>
    </row>
  </sheetData>
  <mergeCells count="2">
    <mergeCell ref="A1:F1"/>
    <mergeCell ref="A2:F2"/>
  </mergeCells>
  <pageMargins left="0.75" right="0.75" top="1" bottom="1" header="0.511811023622047" footer="0.511811023622047"/>
  <pageSetup paperSize="9" orientation="portrait" horizontalDpi="300" verticalDpi="30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H8"/>
  <sheetViews>
    <sheetView zoomScaleNormal="100" workbookViewId="0"/>
  </sheetViews>
  <sheetFormatPr defaultColWidth="8.5703125" defaultRowHeight="14.45"/>
  <cols>
    <col min="1" max="1" width="22" customWidth="1"/>
    <col min="2" max="2" width="12" customWidth="1"/>
    <col min="3" max="3" width="10" customWidth="1"/>
    <col min="4" max="4" width="14" customWidth="1"/>
    <col min="5" max="5" width="10" customWidth="1"/>
    <col min="6" max="8" width="12" customWidth="1"/>
  </cols>
  <sheetData>
    <row r="1" spans="1:8" ht="18">
      <c r="A1" s="23" t="s">
        <v>232</v>
      </c>
      <c r="B1" s="23"/>
      <c r="C1" s="23"/>
      <c r="D1" s="23"/>
      <c r="E1" s="23"/>
      <c r="F1" s="23"/>
      <c r="G1" s="23"/>
      <c r="H1" s="23"/>
    </row>
    <row r="3" spans="1:8" ht="27.95">
      <c r="A3" s="8" t="s">
        <v>233</v>
      </c>
      <c r="B3" s="8" t="s">
        <v>234</v>
      </c>
      <c r="C3" s="8" t="s">
        <v>235</v>
      </c>
      <c r="D3" s="8" t="s">
        <v>236</v>
      </c>
      <c r="E3" s="8" t="s">
        <v>237</v>
      </c>
      <c r="F3" s="8" t="s">
        <v>238</v>
      </c>
      <c r="G3" s="8" t="s">
        <v>239</v>
      </c>
      <c r="H3" s="8" t="s">
        <v>240</v>
      </c>
    </row>
    <row r="4" spans="1:8">
      <c r="A4" s="19" t="s">
        <v>5</v>
      </c>
      <c r="B4" s="9">
        <v>1.595</v>
      </c>
      <c r="C4" s="9">
        <v>0.79800000000000004</v>
      </c>
      <c r="D4" s="9">
        <v>1.1459999999999999</v>
      </c>
      <c r="E4" s="9">
        <v>0.35799999999999998</v>
      </c>
      <c r="F4" s="9">
        <v>0.44800000000000001</v>
      </c>
      <c r="G4" s="9">
        <v>0.61799999999999999</v>
      </c>
      <c r="H4" s="9">
        <v>0.72499999999999998</v>
      </c>
    </row>
    <row r="5" spans="1:8">
      <c r="A5" s="19" t="s">
        <v>72</v>
      </c>
      <c r="B5" s="9">
        <v>2.9319999999999999</v>
      </c>
      <c r="C5" s="9">
        <v>0.63400000000000001</v>
      </c>
      <c r="D5" s="9">
        <v>1.9330000000000001</v>
      </c>
      <c r="E5" s="9">
        <v>0.316</v>
      </c>
      <c r="F5" s="9">
        <v>1</v>
      </c>
      <c r="G5" s="9">
        <v>0.501</v>
      </c>
      <c r="H5" s="9">
        <v>1.996</v>
      </c>
    </row>
    <row r="6" spans="1:8">
      <c r="A6" s="19" t="s">
        <v>73</v>
      </c>
      <c r="B6" s="9">
        <v>2.65</v>
      </c>
      <c r="C6" s="9">
        <v>0.76700000000000002</v>
      </c>
      <c r="D6" s="9">
        <v>1.6240000000000001</v>
      </c>
      <c r="E6" s="9">
        <v>0.30599999999999999</v>
      </c>
      <c r="F6" s="9">
        <v>1.0249999999999999</v>
      </c>
      <c r="G6" s="9">
        <v>0.58399999999999996</v>
      </c>
      <c r="H6" s="9">
        <v>1.756</v>
      </c>
    </row>
    <row r="8" spans="1:8" ht="75" customHeight="1">
      <c r="A8" s="21" t="s">
        <v>241</v>
      </c>
      <c r="B8" s="21"/>
      <c r="C8" s="21"/>
      <c r="D8" s="21"/>
      <c r="E8" s="21"/>
      <c r="F8" s="21"/>
      <c r="G8" s="21"/>
      <c r="H8" s="21"/>
    </row>
  </sheetData>
  <mergeCells count="2">
    <mergeCell ref="A1:H1"/>
    <mergeCell ref="A8:H8"/>
  </mergeCells>
  <pageMargins left="0.75" right="0.75" top="1" bottom="1" header="0.511811023622047" footer="0.511811023622047"/>
  <pageSetup paperSize="9" orientation="portrait" horizontalDpi="300" verticalDpi="30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I24"/>
  <sheetViews>
    <sheetView zoomScaleNormal="100" workbookViewId="0"/>
  </sheetViews>
  <sheetFormatPr defaultColWidth="8.5703125" defaultRowHeight="14.45"/>
  <cols>
    <col min="1" max="1" width="6" customWidth="1"/>
    <col min="2" max="2" width="50" customWidth="1"/>
    <col min="3" max="6" width="6" customWidth="1"/>
    <col min="7" max="7" width="12" customWidth="1"/>
    <col min="8" max="9" width="10" customWidth="1"/>
  </cols>
  <sheetData>
    <row r="1" spans="1:9" ht="18">
      <c r="A1" s="23" t="s">
        <v>242</v>
      </c>
      <c r="B1" s="23"/>
      <c r="C1" s="23"/>
      <c r="D1" s="23"/>
      <c r="E1" s="23"/>
      <c r="F1" s="23"/>
      <c r="G1" s="23"/>
      <c r="H1" s="23"/>
    </row>
    <row r="3" spans="1:9">
      <c r="A3" s="26" t="s">
        <v>243</v>
      </c>
      <c r="B3" s="26"/>
      <c r="C3" s="26"/>
      <c r="D3" s="26"/>
      <c r="E3" s="26"/>
      <c r="F3" s="26"/>
      <c r="G3" s="26"/>
      <c r="H3" s="26"/>
    </row>
    <row r="4" spans="1:9" ht="49.5" customHeight="1">
      <c r="A4" s="22" t="s">
        <v>244</v>
      </c>
      <c r="B4" s="22"/>
      <c r="C4" s="22"/>
      <c r="D4" s="22"/>
      <c r="E4" s="22"/>
      <c r="F4" s="22"/>
      <c r="G4" s="22"/>
      <c r="H4" s="22"/>
    </row>
    <row r="6" spans="1:9">
      <c r="A6" s="8" t="s">
        <v>67</v>
      </c>
      <c r="B6" s="8" t="s">
        <v>245</v>
      </c>
      <c r="C6" s="8" t="s">
        <v>49</v>
      </c>
      <c r="D6" s="8" t="s">
        <v>50</v>
      </c>
      <c r="E6" s="8" t="s">
        <v>51</v>
      </c>
      <c r="F6" s="8" t="s">
        <v>52</v>
      </c>
      <c r="G6" s="8" t="s">
        <v>186</v>
      </c>
      <c r="H6" s="8" t="s">
        <v>246</v>
      </c>
      <c r="I6" s="8" t="s">
        <v>247</v>
      </c>
    </row>
    <row r="7" spans="1:9">
      <c r="A7" s="9">
        <v>8</v>
      </c>
      <c r="B7" s="19" t="s">
        <v>248</v>
      </c>
      <c r="C7" s="9">
        <v>3</v>
      </c>
      <c r="D7" s="9">
        <v>4</v>
      </c>
      <c r="E7" s="9">
        <v>5</v>
      </c>
      <c r="F7" s="9">
        <v>1</v>
      </c>
      <c r="G7" s="9">
        <v>1</v>
      </c>
      <c r="H7" s="9">
        <v>3.25</v>
      </c>
      <c r="I7" s="9">
        <v>2.41</v>
      </c>
    </row>
    <row r="8" spans="1:9">
      <c r="A8" s="9">
        <v>9</v>
      </c>
      <c r="B8" s="19" t="s">
        <v>249</v>
      </c>
      <c r="C8" s="9">
        <v>3</v>
      </c>
      <c r="D8" s="9">
        <v>4</v>
      </c>
      <c r="E8" s="9">
        <v>5</v>
      </c>
      <c r="F8" s="9">
        <v>1</v>
      </c>
      <c r="G8" s="9">
        <v>1</v>
      </c>
      <c r="H8" s="9">
        <v>3.25</v>
      </c>
      <c r="I8" s="9">
        <v>2.41</v>
      </c>
    </row>
    <row r="9" spans="1:9">
      <c r="A9" s="9">
        <v>10</v>
      </c>
      <c r="B9" s="19" t="s">
        <v>250</v>
      </c>
      <c r="C9" s="9">
        <v>3</v>
      </c>
      <c r="D9" s="9">
        <v>4</v>
      </c>
      <c r="E9" s="9">
        <v>5</v>
      </c>
      <c r="F9" s="9">
        <v>1</v>
      </c>
      <c r="G9" s="9">
        <v>1</v>
      </c>
      <c r="H9" s="9">
        <v>3.25</v>
      </c>
      <c r="I9" s="9">
        <v>2.41</v>
      </c>
    </row>
    <row r="10" spans="1:9">
      <c r="A10" s="9">
        <v>11</v>
      </c>
      <c r="B10" s="19" t="s">
        <v>251</v>
      </c>
      <c r="C10" s="9">
        <v>3</v>
      </c>
      <c r="D10" s="9">
        <v>4</v>
      </c>
      <c r="E10" s="9">
        <v>5</v>
      </c>
      <c r="F10" s="9">
        <v>1</v>
      </c>
      <c r="G10" s="9">
        <v>1</v>
      </c>
      <c r="H10" s="9">
        <v>3.25</v>
      </c>
      <c r="I10" s="9">
        <v>2.41</v>
      </c>
    </row>
    <row r="11" spans="1:9">
      <c r="A11" s="9">
        <v>12</v>
      </c>
      <c r="B11" s="19" t="s">
        <v>252</v>
      </c>
      <c r="C11" s="9">
        <v>3</v>
      </c>
      <c r="D11" s="9">
        <v>4</v>
      </c>
      <c r="E11" s="9">
        <v>5</v>
      </c>
      <c r="F11" s="9">
        <v>1</v>
      </c>
      <c r="G11" s="9">
        <v>1</v>
      </c>
      <c r="H11" s="9">
        <v>3.25</v>
      </c>
      <c r="I11" s="9">
        <v>2.41</v>
      </c>
    </row>
    <row r="12" spans="1:9">
      <c r="A12" s="9">
        <v>13</v>
      </c>
      <c r="B12" s="19" t="s">
        <v>253</v>
      </c>
      <c r="C12" s="9">
        <v>3</v>
      </c>
      <c r="D12" s="9">
        <v>4</v>
      </c>
      <c r="E12" s="9">
        <v>5</v>
      </c>
      <c r="F12" s="9">
        <v>1</v>
      </c>
      <c r="G12" s="9">
        <v>1</v>
      </c>
      <c r="H12" s="9">
        <v>3.25</v>
      </c>
      <c r="I12" s="9">
        <v>2.41</v>
      </c>
    </row>
    <row r="13" spans="1:9">
      <c r="A13" s="9">
        <v>14</v>
      </c>
      <c r="B13" s="19" t="s">
        <v>254</v>
      </c>
      <c r="C13" s="9">
        <v>3</v>
      </c>
      <c r="D13" s="9">
        <v>4</v>
      </c>
      <c r="E13" s="9">
        <v>5</v>
      </c>
      <c r="F13" s="9">
        <v>1</v>
      </c>
      <c r="G13" s="9">
        <v>1</v>
      </c>
      <c r="H13" s="9">
        <v>3.25</v>
      </c>
      <c r="I13" s="9">
        <v>2.41</v>
      </c>
    </row>
    <row r="14" spans="1:9">
      <c r="A14" s="9">
        <v>15</v>
      </c>
      <c r="B14" s="19" t="s">
        <v>255</v>
      </c>
      <c r="C14" s="9">
        <v>3</v>
      </c>
      <c r="D14" s="9">
        <v>4</v>
      </c>
      <c r="E14" s="9">
        <v>5</v>
      </c>
      <c r="F14" s="9">
        <v>1</v>
      </c>
      <c r="G14" s="9">
        <v>1</v>
      </c>
      <c r="H14" s="9">
        <v>3.25</v>
      </c>
      <c r="I14" s="9">
        <v>2.41</v>
      </c>
    </row>
    <row r="15" spans="1:9">
      <c r="A15" s="9">
        <v>16</v>
      </c>
      <c r="B15" s="19" t="s">
        <v>256</v>
      </c>
      <c r="C15" s="9">
        <v>3</v>
      </c>
      <c r="D15" s="9">
        <v>4</v>
      </c>
      <c r="E15" s="9">
        <v>5</v>
      </c>
      <c r="F15" s="9">
        <v>1</v>
      </c>
      <c r="G15" s="9">
        <v>1</v>
      </c>
      <c r="H15" s="9">
        <v>3.25</v>
      </c>
      <c r="I15" s="9">
        <v>2.41</v>
      </c>
    </row>
    <row r="16" spans="1:9">
      <c r="A16" s="9">
        <v>17</v>
      </c>
      <c r="B16" s="19" t="s">
        <v>257</v>
      </c>
      <c r="C16" s="9">
        <v>3</v>
      </c>
      <c r="D16" s="9">
        <v>4</v>
      </c>
      <c r="E16" s="9">
        <v>5</v>
      </c>
      <c r="F16" s="9">
        <v>1</v>
      </c>
      <c r="G16" s="9">
        <v>1</v>
      </c>
      <c r="H16" s="9">
        <v>3.25</v>
      </c>
      <c r="I16" s="9">
        <v>2.41</v>
      </c>
    </row>
    <row r="17" spans="1:9">
      <c r="A17" s="9">
        <v>18</v>
      </c>
      <c r="B17" s="19" t="s">
        <v>258</v>
      </c>
      <c r="C17" s="9">
        <v>3</v>
      </c>
      <c r="D17" s="9">
        <v>4</v>
      </c>
      <c r="E17" s="9">
        <v>5</v>
      </c>
      <c r="F17" s="9">
        <v>1</v>
      </c>
      <c r="G17" s="9">
        <v>1</v>
      </c>
      <c r="H17" s="9">
        <v>3.25</v>
      </c>
      <c r="I17" s="9">
        <v>2.41</v>
      </c>
    </row>
    <row r="18" spans="1:9">
      <c r="A18" s="9">
        <v>19</v>
      </c>
      <c r="B18" s="19" t="s">
        <v>259</v>
      </c>
      <c r="C18" s="9">
        <v>3</v>
      </c>
      <c r="D18" s="9">
        <v>4</v>
      </c>
      <c r="E18" s="9">
        <v>5</v>
      </c>
      <c r="F18" s="9">
        <v>1</v>
      </c>
      <c r="G18" s="9">
        <v>1</v>
      </c>
      <c r="H18" s="9">
        <v>3.25</v>
      </c>
      <c r="I18" s="9">
        <v>2.41</v>
      </c>
    </row>
    <row r="19" spans="1:9">
      <c r="A19" s="9">
        <v>20</v>
      </c>
      <c r="B19" s="19" t="s">
        <v>260</v>
      </c>
      <c r="C19" s="9">
        <v>3</v>
      </c>
      <c r="D19" s="9">
        <v>4</v>
      </c>
      <c r="E19" s="9">
        <v>5</v>
      </c>
      <c r="F19" s="9">
        <v>1</v>
      </c>
      <c r="G19" s="9">
        <v>1</v>
      </c>
      <c r="H19" s="9">
        <v>3.25</v>
      </c>
      <c r="I19" s="9">
        <v>2.41</v>
      </c>
    </row>
    <row r="20" spans="1:9">
      <c r="A20" s="9">
        <v>21</v>
      </c>
      <c r="B20" s="19" t="s">
        <v>261</v>
      </c>
      <c r="C20" s="9">
        <v>3</v>
      </c>
      <c r="D20" s="9">
        <v>4</v>
      </c>
      <c r="E20" s="9">
        <v>5</v>
      </c>
      <c r="F20" s="9">
        <v>1</v>
      </c>
      <c r="G20" s="9">
        <v>1</v>
      </c>
      <c r="H20" s="9">
        <v>3.25</v>
      </c>
      <c r="I20" s="9">
        <v>2.41</v>
      </c>
    </row>
    <row r="21" spans="1:9">
      <c r="A21" s="10" t="s">
        <v>46</v>
      </c>
      <c r="B21" s="10" t="s">
        <v>262</v>
      </c>
      <c r="C21" s="10">
        <f t="shared" ref="C21:I21" si="0">AVERAGE(C7:C20)</f>
        <v>3</v>
      </c>
      <c r="D21" s="10">
        <f t="shared" si="0"/>
        <v>4</v>
      </c>
      <c r="E21" s="10">
        <f t="shared" si="0"/>
        <v>5</v>
      </c>
      <c r="F21" s="10">
        <f t="shared" si="0"/>
        <v>1</v>
      </c>
      <c r="G21" s="20">
        <f t="shared" si="0"/>
        <v>1</v>
      </c>
      <c r="H21" s="20">
        <f t="shared" si="0"/>
        <v>3.25</v>
      </c>
      <c r="I21" s="20">
        <f t="shared" si="0"/>
        <v>2.41</v>
      </c>
    </row>
    <row r="23" spans="1:9">
      <c r="A23" s="2" t="s">
        <v>20</v>
      </c>
    </row>
    <row r="24" spans="1:9" ht="129.75" customHeight="1">
      <c r="A24" s="21" t="s">
        <v>263</v>
      </c>
      <c r="B24" s="21"/>
      <c r="C24" s="21"/>
      <c r="D24" s="21"/>
      <c r="E24" s="21"/>
      <c r="F24" s="21"/>
      <c r="G24" s="21"/>
      <c r="H24" s="21"/>
      <c r="I24" s="21"/>
    </row>
  </sheetData>
  <mergeCells count="4">
    <mergeCell ref="A1:H1"/>
    <mergeCell ref="A3:H3"/>
    <mergeCell ref="A4:H4"/>
    <mergeCell ref="A24:I24"/>
  </mergeCells>
  <pageMargins left="0.75" right="0.75" top="1" bottom="1" header="0.511811023622047" footer="0.511811023622047"/>
  <pageSetup paperSize="9" orientation="portrait" horizontalDpi="300" verticalDpi="300"/>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openpyxl</dc:creator>
  <cp:keywords/>
  <dc:description/>
  <cp:lastModifiedBy>Rambel-Stone, Milinda</cp:lastModifiedBy>
  <cp:revision>0</cp:revision>
  <dcterms:created xsi:type="dcterms:W3CDTF">2026-04-24T21:41:09Z</dcterms:created>
  <dcterms:modified xsi:type="dcterms:W3CDTF">2026-05-02T13:49:05Z</dcterms:modified>
  <cp:category/>
  <cp:contentStatus/>
</cp:coreProperties>
</file>