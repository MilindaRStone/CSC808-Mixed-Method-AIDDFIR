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akotastateuniversity-my.sharepoint.com/personal/milinda_rambel-stone_trojans_dsu_edu/Documents/Courses/CSC 808 Mixed Methods Research/Research 808/"/>
    </mc:Choice>
  </mc:AlternateContent>
  <xr:revisionPtr revIDLastSave="36" documentId="11_D72F62110CE766D53C26857E7A2D15A8445F6B44" xr6:coauthVersionLast="47" xr6:coauthVersionMax="47" xr10:uidLastSave="{E6B40C0D-6ACB-492F-805B-A938736C3848}"/>
  <bookViews>
    <workbookView minimized="1" xWindow="8440" yWindow="0" windowWidth="7500" windowHeight="11280" tabRatio="500" xr2:uid="{00000000-000D-0000-FFFF-FFFF00000000}"/>
  </bookViews>
  <sheets>
    <sheet name="Coding Log" sheetId="1" r:id="rId1"/>
    <sheet name="Document Tracker" sheetId="2" r:id="rId2"/>
    <sheet name="Memo Log" sheetId="3" r:id="rId3"/>
    <sheet name="κ Subsample Tracker" sheetId="4" r:id="rId4"/>
    <sheet name="Code Frequency" sheetId="5" r:id="rId5"/>
    <sheet name="Q2 Rubric" sheetId="6" r:id="rId6"/>
    <sheet name="Decision Log" sheetId="7" r:id="rId7"/>
    <sheet name="Decision-Emrgng Patt Saturatn" sheetId="8" r:id="rId8"/>
    <sheet name="Emerging Patterns 1-4"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5" l="1"/>
  <c r="D36" i="5"/>
  <c r="F36" i="5" s="1"/>
  <c r="E35" i="5"/>
  <c r="F35" i="5" s="1"/>
  <c r="D35" i="5"/>
  <c r="E34" i="5"/>
  <c r="D34" i="5"/>
  <c r="F34" i="5" s="1"/>
  <c r="E33" i="5"/>
  <c r="D33" i="5"/>
  <c r="F33" i="5" s="1"/>
  <c r="E32" i="5"/>
  <c r="D32" i="5"/>
  <c r="F32" i="5" s="1"/>
  <c r="E30" i="5"/>
  <c r="D30" i="5"/>
  <c r="F30" i="5" s="1"/>
  <c r="E29" i="5"/>
  <c r="D29" i="5"/>
  <c r="F29" i="5" s="1"/>
  <c r="E28" i="5"/>
  <c r="D28" i="5"/>
  <c r="F28" i="5" s="1"/>
  <c r="E27" i="5"/>
  <c r="D27" i="5"/>
  <c r="F27" i="5" s="1"/>
  <c r="E25" i="5"/>
  <c r="D25" i="5"/>
  <c r="F25" i="5" s="1"/>
  <c r="E24" i="5"/>
  <c r="D24" i="5"/>
  <c r="F24" i="5" s="1"/>
  <c r="E23" i="5"/>
  <c r="D23" i="5"/>
  <c r="F23" i="5" s="1"/>
  <c r="E22" i="5"/>
  <c r="D22" i="5"/>
  <c r="F22" i="5" s="1"/>
  <c r="E21" i="5"/>
  <c r="D21" i="5"/>
  <c r="F21" i="5" s="1"/>
  <c r="E20" i="5"/>
  <c r="D20" i="5"/>
  <c r="F20" i="5" s="1"/>
  <c r="E18" i="5"/>
  <c r="D18" i="5"/>
  <c r="F18" i="5" s="1"/>
  <c r="E17" i="5"/>
  <c r="D17" i="5"/>
  <c r="F17" i="5" s="1"/>
  <c r="E16" i="5"/>
  <c r="D16" i="5"/>
  <c r="F16" i="5" s="1"/>
  <c r="E15" i="5"/>
  <c r="D15" i="5"/>
  <c r="F15" i="5" s="1"/>
  <c r="E14" i="5"/>
  <c r="D14" i="5"/>
  <c r="F14" i="5" s="1"/>
  <c r="E13" i="5"/>
  <c r="D13" i="5"/>
  <c r="F13" i="5" s="1"/>
  <c r="E11" i="5"/>
  <c r="D11" i="5"/>
  <c r="F11" i="5" s="1"/>
  <c r="E10" i="5"/>
  <c r="D10" i="5"/>
  <c r="F10" i="5" s="1"/>
  <c r="E9" i="5"/>
  <c r="D9" i="5"/>
  <c r="F9" i="5" s="1"/>
  <c r="E8" i="5"/>
  <c r="D8" i="5"/>
  <c r="F8" i="5" s="1"/>
  <c r="E7" i="5"/>
  <c r="D7" i="5"/>
  <c r="F7" i="5" s="1"/>
  <c r="E6" i="5"/>
  <c r="D6" i="5"/>
  <c r="F6" i="5" s="1"/>
  <c r="E5" i="5"/>
  <c r="E37" i="5" s="1"/>
  <c r="D5" i="5"/>
  <c r="F5" i="5" s="1"/>
  <c r="F23" i="4"/>
  <c r="F25" i="4" s="1"/>
  <c r="N20" i="4"/>
  <c r="N19" i="4"/>
  <c r="N18" i="4"/>
  <c r="N17" i="4"/>
  <c r="N16" i="4"/>
  <c r="N15" i="4"/>
  <c r="N14" i="4"/>
  <c r="N13" i="4"/>
  <c r="N12" i="4"/>
  <c r="N11" i="4"/>
  <c r="N10" i="4"/>
  <c r="N9" i="4"/>
  <c r="N8" i="4"/>
  <c r="N7" i="4"/>
  <c r="N6" i="4"/>
  <c r="F24" i="4" s="1"/>
  <c r="N5" i="4"/>
  <c r="J52" i="2"/>
  <c r="I52" i="2"/>
  <c r="H52" i="2"/>
  <c r="A198" i="1"/>
  <c r="A197" i="1"/>
  <c r="A196" i="1"/>
  <c r="A195" i="1"/>
  <c r="A194" i="1"/>
  <c r="A193" i="1"/>
  <c r="A192" i="1"/>
  <c r="A191" i="1"/>
  <c r="A190" i="1"/>
  <c r="A189" i="1"/>
  <c r="A188" i="1"/>
  <c r="A187" i="1"/>
  <c r="A186" i="1"/>
  <c r="A185" i="1"/>
  <c r="A184" i="1"/>
  <c r="A183" i="1"/>
  <c r="A182" i="1"/>
  <c r="A181" i="1"/>
  <c r="A180" i="1"/>
  <c r="A179" i="1"/>
  <c r="A178" i="1"/>
  <c r="A177" i="1"/>
  <c r="A176" i="1"/>
  <c r="A175" i="1"/>
  <c r="A146" i="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33" i="1"/>
  <c r="A32" i="1"/>
  <c r="A31" i="1"/>
  <c r="A30" i="1"/>
  <c r="A29" i="1"/>
  <c r="F37" i="5" l="1"/>
  <c r="D37" i="5"/>
</calcChain>
</file>

<file path=xl/sharedStrings.xml><?xml version="1.0" encoding="utf-8"?>
<sst xmlns="http://schemas.openxmlformats.org/spreadsheetml/2006/main" count="3233" uniqueCount="1104">
  <si>
    <t>Date</t>
  </si>
  <si>
    <t>Decisions</t>
  </si>
  <si>
    <t>?</t>
  </si>
  <si>
    <t>Entry 2 (ORG-06): Coded. The legal consultation requirement is more than boilerplate here because it appears in the Limitations section as a structural constraint on operationalizing any AI guidance — it gates the entire document's applicability. Not removing the "?" entirely, but it stands as coded for Pass 1.</t>
  </si>
  <si>
    <t>Entry 4 (CRS-02 + TEC-02): Both coded. The "human verification required" language is CRS-02 (non-prescriptive). The absence of any verification protocol despite the stated need tips this into TEC-02 — SWGDE recognized validation was necessary but had no methodology to specify.</t>
  </si>
  <si>
    <t>Entry 7 (PRO-02): Coded as PRO-02. The 2.5-year cycle with 9 revision sessions producing only an awareness document — not a standard, not a position — is evidence of a process that could not converge on prescriptive content. PRO-04 would require explicit deferral language ("this will be addressed in a future document"), which is absent. PRO-02 is the right call.</t>
  </si>
  <si>
    <t>change Code 1 from PRO-02 to PRO-06. Write a one-line decision log entry explaining: "E3016-18 is an SDO-published standard that has not been accepted into the OSAC governance registry — this is a coordination failure between ASTM and OSAC, not an internal process stall. PRO-06 is more precise than PRO-02."</t>
  </si>
  <si>
    <t>Decision Log Entry — 2026-04-13 | Protocol Amendment — Reliability Design Modification
Protocol Amendment — 2026-04-13: Intra-rater κ with 14-day gap (originally specified in Section IV, Phase 2 reliability) replaced by Lincoln &amp; Guba (1985) dependability audit trail. Rationale: course submission deadline (April 28, 2026) structurally precludes the minimum 14-day gap required between Pass 1 and Pass 2 coding. The amendment does not alter the Applied Observational classification under Edgar &amp; Manz (2017), the QUAN→QUAL design logic, or the codebook. Reliability evidence consists of: (1) nine analytic memos documenting pattern emergence and code boundary decisions; (2) decision log entries for all code boundary cases; (3) a stability check performed on five provisional entries (10, 11, 17, 18, 19) recoded without reference to Pass 1 notes (80% stability, exceeding ≥70% dependability threshold). Pass 2 κ calculation is scheduled for May 2, 2026 and will be reported as a post-submission reliability confirmation in the dissertation version of this analysis.</t>
  </si>
  <si>
    <t>2026-04-13 | Protocol Amendment — Reliability Design Modification
Protocol Amendment — 2026-04-13: Intra-rater κ with 14-day gap (originally specified in Section IV, Phase 2 reliability) replaced by Lincoln &amp; Guba (1985) dependability audit trail. Rationale: course submission deadline (April 28, 2026) structurally precludes the minimum 14-day gap required between Pass 1 and Pass 2 coding. The amendment does not alter the Applied Observational classification under Edgar &amp; Manz (2017), the QUAN→QUAL design logic, or the codebook. Reliability evidence consists of: (1) nine analytic memos documenting pattern emergence and code boundary decisions; (2) decision log entries for all code boundary cases; (3) a stability check performed on five provisional entries (10, 11, 17, 18, 19) recoded without reference to Pass 1 notes (80% stability, exceeding ≥70% dependability threshold). Pass 2 κ calculation is scheduled for May 2, 2026 and will be reported as a post-submission reliability confirmation in the dissertation version of this analysis.</t>
  </si>
  <si>
    <t>1. Remove the May 2 Pass 2 κ reference entirely
The April 13 Decision Log entry states Pass 2 κ is "scheduled for May 2, 2026 and will be reported as a post-submission reliability confirmation." With a hard April 28 deadline and no post-submission work permitted, that sentence is now inaccurate and must be corrected. The Lincoln &amp; Guba dependability audit trail stands as your sole reliability mechanism — that is sufficient and already documented. Simply remove the May 2 reference from both the Decision Log and any methods language. (DONE)
2. Formally adopt purposive saturation sampling for corpus completion
You cannot code all 35 remaining documents at full depth by April 28 and write the paper. You need to formally adopt purposive saturation sampling — a recognized qualitative design strategy — which means you stop coding new documents when no new codes are emerging, and you document that decision explicitly. This is methodologically legitimate under Lincoln &amp; Guba and consistent with constant comparative method.
	Original Design	Amended Design
Corpus	47 docs, full coding	κ subsample complete + saturation sampling
Reliability	Lincoln &amp; Guba + May 2 κ	Lincoln &amp; Guba only (already documented)
Stopping rule	Code all documents	Stop at saturation + κ docs complete
Methodological basis	Edgar &amp; Manz (2017)	Unchanged
Defensibility	Strong	Still strong — saturation sampling is standard qualitative practice
You are not weakening your study. Purposive saturation sampling is what qualitative researchers do when corpus depth matters more than corpus exhaustion. Your 12 coded documents already show saturated patterns across ORG-01, TEC-01, TEC-04, PRO-04, and EMER-01 — that is a finding, not a gap.</t>
  </si>
  <si>
    <t>Document TEC-04 as a late-emerging, empirically-gated code and proceed. Add a methodological note to the analysis chapter explaining why TEC-04 activated late (empirical documents are rare in the sub-corpus) and what that structure tells us (the AIDFIR gap includes a performance-reporting gap at the institutional level).</t>
  </si>
  <si>
    <t>See DLEmerging Pattern-Saturation Tab (Decision-Emrgng Patt Saturatn)</t>
  </si>
  <si>
    <t>4/18/20262026-04-18 | Protocol Correction — κ-Subsample Roster Amendment (Path C, Doc #6 codebook-constitutive) Doc #6 (NIST SP 800-53 Rev. 5) is reclassified from κ-subsample member to codebook-constitutive and removed from the Lincoln &amp; Guba (1985) dependability audit trail membership. Triggering realization: during Doc #6 coding (4/15/2026) and subsequent memo work (Memo #14), the document's nine coded entries were found to have participated in the definitional structure of the codebook rather than to have tested the codebook as a neutral instrument. Specifically, Entry 68 (RA-3(4) Predictive Cyber Analytics) produced the first TEC-06 activation for a NIST document, and Entry 67 (technology-neutral design principle) became the reference instance for the ORG-01 / TEC-02 / CRS-01 triple-code — both constituting code-boundary work rather than code-application. Rationale: primary justification is audit trail integrity under Lincoln &amp; Guba — dependability requires a transparent record distinguishing codebook construction from codebook application, and codebook-constitutive documents belong in the construction record. Secondary justification is saturation validity — saturation was declared 4/17/2026 on the three-consecutive-zero-new-codes rule (Decision Log Amendment #2, 2026-04-14), and Doc #6's code-boundary contributions place it categorically within pre-saturation codebook construction even though chronologically coded late. Consequences: (1) Doc #6's nine coded entries (#63–#71) remain in the Coding Log as audit trail evidence but are excluded from frequency counts, saturation evidence, and cross-document pattern aggregation in Chapter 5; (2) κ-subsample roster becomes Docs #4, #10, #21, #25, #26, #28 (six documents); (3) six-document κ-subsample floor from Decision Log Amendment #2 (2026-04-14) remains preserved because the original roster was seven; (4) April 17 Saturation Declaration listing of "five remaining κ-subsample documents — Docs #4, #6, #21, #25, #28" is hereby corrected to four remaining κ-subsample documents — Docs #4, #21, #25, #28 — with Doc #6 reclassified per this entry. Cross-references: Memo #14 (documents Path C selection); Decision Log Amendment #1 (2026-04-13, Lincoln &amp; Guba dependability audit trail); Decision Log Amendment #2 (2026-04-14, six-document κ-subsample floor); April 17 Saturation Declaration (Emerging Patterns sheet — requires update to reflect corrected κ-subsample roster).</t>
  </si>
  <si>
    <t>2026-04-18 | Within-κ Methodological Decisions — Doc #4 Registry Anomaly (Path A) and Doc #28 Longitudinal-Pair Coding (Path A) Two within-κ coding decisions documented at coding time; neither alters the κ sample or the coding methodology. Doc #4 (Path A — registry anomaly). Registry row 4 records the title "NIST CSF 2.0 — Public Comment Analysis Report" and artifact type "Public Comment Record," but the registry URL points to the February 26, 2024 NIST CSF 2.0 release press release. Web search conducted 4/18/2026 confirmed no discrete standalone "NIST CSF 2.0 Public Comment Analysis Report" document exists; NIST's CSF 2.0 disposition model posted comments to the CSF 2.0 website and reflected feedback in redrafts rather than publishing a consolidated response-to-comments artifact. Path A selected by coder: the artifact identified by the registry URL was coded as Doc #4; the registry title and artifact-type fields are flagged for correction in a future registry maintenance pass. No Decision Log amendment is required because the κ sample and the artifact actually coded are unchanged; this is a metadata-field correction. The anomaly itself is dependability audit trail evidence — transparent documentation of a registry-integrity issue caught at coding time. Doc #28 (Path A — longitudinal-pair coding). Doc #28 (SWGDE 18-V-001-1.1, 3/22/2024) and Doc #21 (SWGDE 18-V-001-2.0, 12/10/2025) are the same document at two revision states, 21 months apart. The longitudinal pair was identified at coding time for Doc #28 (4/18/2026) based on shared SWGDE identifier, title, and Doc #21's revision-history table. Path A selected by coder: Part 1 rubric scored standalone per Phase 1 methodology (preserves independent QUAN scoring); Part 2 entries focused on revision-delta passages and v1.1-unique content; Part 3 memos framed as longitudinal analysis. Near-identical passages in both versions were not re-coded in Doc #28 (they were coded in Doc #21, entries #126–#136). Rationale: this approach preserves audit trail integrity — documents are independently scored for Phase 1 QUAN data — while avoiding redundant Part 2 entries on near-identical passages and enabling longitudinal analysis of revision-delta content. No Decision Log amendment is required because the κ sample and coding methodology are unchanged; this is a within-κ analytical approach adapted to the longitudinal pair. Longitudinal framing surfaces the revision-scope mechanism (structurally preserved gap through substantive revision), which standalone coding of both documents would have produced as two independent snapshots rather than as a single mechanism finding. Cross-references: Memo #23 (registry anomaly note, Doc #4); Memo on Doc #28 (longitudinal-pair methodology and primary findings); Decision Log Amendment #1 (2026-04-13, Lincoln &amp; Guba dependability audit trail); Coding Log entries #126–#136 (Doc #21, near-identical passages coded for the pair).</t>
  </si>
  <si>
    <t>Decision Log Amendment #3 (2026-04-21) — EMER-01 Held Status Reconciliation
The 2026-04-14 Decision Log entry listed EMER-01 alongside ORG-01, TEC-01, TEC-04, and PRO-04 as codes "likely to emerge as saturating by the end of coding." This was projective language regarding anticipated codebook outcomes, not a record of codes activated as of that date. The phrase "your 12 coded documents already show saturated patterns" in that entry is similarly understood as projective characterization; on 2026-04-14 the coding log contained approximately seven completed documents with Doc #6 in progress.
Per Memo #4 (2026-04-10), EMER-01 (governmental policy reversal as external process barrier) was proposed as a candidate emergent code following Entry #19 (Doc #1, EO 14110 rescission rendering NIST AI RMF RFC archive inaccessible), with activation conditioned on evidence of recurrence across remaining documents. Per Memo #13 (2026-04-15), EMER-01 was held and not activated, a decision made one day after the 2026-04-14 projective language.
Subsequent coding between 2026-04-15 and saturation declaration (2026-04-17) included Docs #6, #10, #20, and #13, during which EO 14110 and AI Action Plan references appear at Entries #98 (Doc #20, §1.2 scope exclusion) and #105 (Doc #13, §1 AI RMF revision footnote). These passages were coded to existing codes (ORG-01 and PRO-04 respectively) on the basis that the primary analytic weight of each passage sits with scope exclusion and deferred-to-future-cycle, with governmental-policy context serving as secondary framing. This coding decision is consistent with the EMER-01 hold under Memo #13.
The coding log contains zero EMER-01 applications in Code 1, Code 2, Code 3, or CRS flag columns across 171 entries, consistent with Memo #13.
The Saturation sheet text (Decision-Emrgng Patt Saturatn, row 30) previously stated EMER-01 was "saturated across five documents and five distinct manifestations." This text reflected the 2026-04-14 projective language rather than the 2026-04-15 held status and has been corrected (2026-04-21) to reflect the held decision. The single coded instance at Entry #19 is retained under existing codes PRO-02 and ORG-05.
Decision record precedence: Memo #13 (held) supersedes the 2026-04-14 projective language. The coding log is authoritative for code application. The governmental policy reversal pattern is carried forward as a cross-document contextual theme in the Chapter 5 integration, where the code/theme distinction is methodologically legitimate per Lincoln and Guba (1985) and Saldaña (2021).
Cross-references: Memo #4 (2026-04-10, Doc #1 access failure finding); Memo #13 (2026-04-15, EMER-01 hold confirmation); Coding Log Entries #19, #98, #105; Decision-Emrgng Patt Saturatn row 30 (corrected 2026-04-21).</t>
  </si>
  <si>
    <t>CSC 808 Phase 2 Inductive QUAL Coding Log | Rambel Stone | April 2026</t>
  </si>
  <si>
    <t>Corpus: 47 documents | Codebook v1.0 | Constant comparative method | κ subsample: 16 docs, seed=808, Pass 1 / Pass 2 (≥14-day gap) | κ ≥ 0.70 required</t>
  </si>
  <si>
    <t>Entry #</t>
  </si>
  <si>
    <t>Doc #
(registry)</t>
  </si>
  <si>
    <t>Document title (short)</t>
  </si>
  <si>
    <t>Year</t>
  </si>
  <si>
    <t>Source</t>
  </si>
  <si>
    <t>Artifact type</t>
  </si>
  <si>
    <t>Coding unit</t>
  </si>
  <si>
    <t>Page / section ref</t>
  </si>
  <si>
    <t>Passage text (extracted)</t>
  </si>
  <si>
    <t>Code 1</t>
  </si>
  <si>
    <t>Code 2</t>
  </si>
  <si>
    <t>Code 3</t>
  </si>
  <si>
    <t>CRS flag</t>
  </si>
  <si>
    <t>Code 1 rationale</t>
  </si>
  <si>
    <t>Code 2 rationale</t>
  </si>
  <si>
    <t>Pass</t>
  </si>
  <si>
    <t>κ subsample?</t>
  </si>
  <si>
    <t>Memo / analytic note</t>
  </si>
  <si>
    <t>source_detail</t>
  </si>
  <si>
    <t>artifact_type_review_flag</t>
  </si>
  <si>
    <t>kappa_status</t>
  </si>
  <si>
    <t>kappa_note</t>
  </si>
  <si>
    <t>39</t>
  </si>
  <si>
    <t>SWGDE Overview: Artificial Intelligence Trends in Video Analysis (v1.0)</t>
  </si>
  <si>
    <t>2021</t>
  </si>
  <si>
    <t>SWGDE Video</t>
  </si>
  <si>
    <t>Published Document (AI-specific) PRIORITY</t>
  </si>
  <si>
    <t>Full document</t>
  </si>
  <si>
    <t>§3 Limitations, p.3</t>
  </si>
  <si>
    <t>"not intended to state a position for or against the use of artificial intelligence...offered solely as an informational overview"</t>
  </si>
  <si>
    <t>ORG-01</t>
  </si>
  <si>
    <t>CRS-02</t>
  </si>
  <si>
    <t>Pass 1</t>
  </si>
  <si>
    <t>Yes</t>
  </si>
  <si>
    <t>in</t>
  </si>
  <si>
    <t>"implemented only after consultation with legal personnel versed in the laws and rules applicable to the investigator's particular jurisdiction"</t>
  </si>
  <si>
    <t>ORG-06</t>
  </si>
  <si>
    <t>§6.4, p.7</t>
  </si>
  <si>
    <t>known examples of bias...any results/identification should be confirmed by a properly trained examiner before action is taken</t>
  </si>
  <si>
    <t>TEC-01</t>
  </si>
  <si>
    <t>§7.4.1, p.1</t>
  </si>
  <si>
    <t>"any results obtained through the use of ML-based data comparisons require human verification...before legal action is taken"</t>
  </si>
  <si>
    <t>TEC-02</t>
  </si>
  <si>
    <t xml:space="preserve"> "Cold read suggests possible reclassification. Consider CRS-02 as Code 1 with TEC-02 as Code 2. Verify in Pass 2."</t>
  </si>
  <si>
    <t>§7.4.3, p.11</t>
  </si>
  <si>
    <t>"especially difficult for Computer Vision applications that adapt...algorithms developed for proprietary tools are unknown and require benchmarking"</t>
  </si>
  <si>
    <t>TEC-06</t>
  </si>
  <si>
    <t>"should provide limited statistical evaluation for false positives and negatives...results given at one point in time are able to be repeated"</t>
  </si>
  <si>
    <t>§10 History, p.15</t>
  </si>
  <si>
    <t>2.5-year revision cycle (Sept 2018 – Jan 2021), 9 editing sessions, no prescriptive output produced</t>
  </si>
  <si>
    <t>PRO-02</t>
  </si>
  <si>
    <t xml:space="preserve">Flag column R (memo note) for entry 7: Dominant pattern: ORG-01 as structural frame; TEC-01/TEC-06 recurring in validation sections; CRS-02 consistent throughout. 2.5-year history with zero prescriptive output. </t>
  </si>
  <si>
    <t>38</t>
  </si>
  <si>
    <t>SWGDE Position on Facial Recognition and Facial Comparison Development and Com</t>
  </si>
  <si>
    <t>2022</t>
  </si>
  <si>
    <t>SWGDE Imaging</t>
  </si>
  <si>
    <t>Position Document (published)</t>
  </si>
  <si>
    <t>§3 FRS def., p.1</t>
  </si>
  <si>
    <t>"not meant to be a step-by-step guide...refer to FISWG"</t>
  </si>
  <si>
    <t>Strong</t>
  </si>
  <si>
    <t>No</t>
  </si>
  <si>
    <t>out</t>
  </si>
  <si>
    <t>§4, p.2</t>
  </si>
  <si>
    <t>"algorithm performance entirely dependent upon patterns...do not correlate to obvious anatomical features"</t>
  </si>
  <si>
    <t>CRS-01</t>
  </si>
  <si>
    <t>"facial recognition candidate returns are not considered a positive identification...trained human adjudication"</t>
  </si>
  <si>
    <t>Provisional</t>
  </si>
  <si>
    <t>Pass 2</t>
  </si>
  <si>
    <t xml:space="preserve">TEC-01 provisional </t>
  </si>
  <si>
    <t>"facial comparison does not provide positive identifications...standardized scale"</t>
  </si>
  <si>
    <t>TEC-03 provisional "?". NOTE reclassifying entry 11 from TEC-03 to CRS-02 in Pass 2. Note in memo column now.  
"Cold read suggests possible reclassification from TEC-03 to CRS-02 in Pass 2. Standardized scale is acknowledged but not specified this may be a language choice rather than unresolved technical consensus."</t>
  </si>
  <si>
    <t>"results must be reviewed by trained personnel...not the only basis for law enforcement action"</t>
  </si>
  <si>
    <t>§6 History, p.3</t>
  </si>
  <si>
    <t>Three consecutive Draft for Public Comment iterations (June 2021, Sept 2021, Jan 2022)</t>
  </si>
  <si>
    <t>PRO-01</t>
  </si>
  <si>
    <t>C1</t>
  </si>
  <si>
    <t>NIST OSAC FSSB Meeting Agendas Public Sessions (2023, multiple quarters)</t>
  </si>
  <si>
    <t>2023</t>
  </si>
  <si>
    <t>NIST OSAC</t>
  </si>
  <si>
    <t>Meeting Agenda (Public)</t>
  </si>
  <si>
    <t>Item 4, Task Groups</t>
  </si>
  <si>
    <t>Complete Task Group roster no AI or confidence measurement task group in FSSB governance</t>
  </si>
  <si>
    <t>ORG-07</t>
  </si>
  <si>
    <t>Strong confirmed across all 4 quarters: no AI TG added at any point in 2023</t>
  </si>
  <si>
    <t>Standards pipeline, Day 2</t>
  </si>
  <si>
    <t>Full standards pipeline no AI standards in registry review, petition, or open comment</t>
  </si>
  <si>
    <t>Strong confirmed cross-quarter: no AI standards in pipeline Q1–Q4</t>
  </si>
  <si>
    <t>Item 6c-iv, D/M SAC</t>
  </si>
  <si>
    <t>"Digital/Multimedia Technical Guidance Request [Vote]" only D/M action item in full year</t>
  </si>
  <si>
    <t>ORG-03</t>
  </si>
  <si>
    <t>Provisional "?" content of request not visible. Still provisional "?". This cannot be resolved without knowing what the vote covered. Hold at ORG-03 "?" until C5 or other C1 documents provide context.</t>
  </si>
  <si>
    <t>OPO Item 3</t>
  </si>
  <si>
    <t>R&amp;D Needs Update recurring information-only item, no D/M or AI escalation visible</t>
  </si>
  <si>
    <t>Provisional "?" cross-document support needed from C5. retain ORG-07 but note in memo that entry 22 provides the stronger empirical confirmation of this pattern. Entries 17 and 22 together form one finding, not two independent findings.</t>
  </si>
  <si>
    <t>Item 24, Day 2</t>
  </si>
  <si>
    <t>"Interpretation Scales FSSB Discussion: Chemistry: Trace Evidence, Physics/Pattern" Digital/Multimedia excluded</t>
  </si>
  <si>
    <t>ORG-05</t>
  </si>
  <si>
    <t>Strong on ORG-05; ORG-03 provisional "?". Pass 2, consider dropping ORG-03 from this entry and keeping ORG-05 only unless you find evidence the D/M exclusion was a priority decision rather than a scope decision.</t>
  </si>
  <si>
    <t>1</t>
  </si>
  <si>
    <t>NIST AI RMF Development Public Comments Received During RFC Period</t>
  </si>
  <si>
    <t>NIST AI</t>
  </si>
  <si>
    <t>Public Comment Record</t>
  </si>
  <si>
    <t>Section Level</t>
  </si>
  <si>
    <t>NIST AI RMF RFC public comment record inaccessible EO 14110 rescinded Jan 20 2025; NIST site search returns no results; associated comment archive delisted</t>
  </si>
  <si>
    <t>Possible Emerging</t>
  </si>
  <si>
    <t>Entry 19 (EO 14110 rescission rendering NIST AI RMF RFC inaccessible) does not fit cleanly into any existing code. PRO-02 + ORG-05 captures it partially but misses the specifically political and external nature of the barrier. This is still a candidate for EMER-01. The question is whether this pattern recurs. If you find other instances of AI governance records being rendered inaccessible by political action in your remaining 42 documents, activate EMER-01. If entry 19 remains the only instance, it is better described as an unusual PRO-02 than as a new category. Hold EMER-01 do not activate yet.</t>
  </si>
  <si>
    <t>NIST OSAC Annual Reports Digital/Multimedia SAC (2020, 2021, 2022, 2023) [consolidated from orig. #16–19]</t>
  </si>
  <si>
    <t>2020–2023</t>
  </si>
  <si>
    <t>Annual Report / Organizational Newsletter</t>
  </si>
  <si>
    <t>Document-level access finding</t>
  </si>
  <si>
    <t>OSAC annual reports not consistently published or archived 2020 and 2022 inaccessible. Institutional transparency gap limits external accountability for Digital/Multimedia standards governance.</t>
  </si>
  <si>
    <t xml:space="preserve"> table"Digital Evidence +2 Published (1st SWGDE documents!)" FY23 first SWGDE entry in 9 years</t>
  </si>
  <si>
    <t>"There are no research and development needs identified by the Digital Evidence Subcommittee"</t>
  </si>
  <si>
    <t>Strongest ORG-07 in corpus</t>
  </si>
  <si>
    <t>2020–2024</t>
  </si>
  <si>
    <t>ANSI/ASTM E3016-18 confidence standard pending OSAC registry acceptance since 2018 (6+ years)</t>
  </si>
  <si>
    <t>PRO-06</t>
  </si>
  <si>
    <t>Strongest PRO-02 in corpus</t>
  </si>
  <si>
    <t>Action: Recoded entry 23 from PRO-02 to PRO-06, or assign both. PRO-06 is more precise here because the standard exists and is published the failure is in the adoption pathway between the SDO and the governance registry, which is a coordination gap rather than a process stall. Write a decision log entry explaining this distinction.</t>
  </si>
  <si>
    <t>16</t>
  </si>
  <si>
    <t>2020–2025</t>
  </si>
  <si>
    <t>Generative AI tools reference document informational only, no prescriptive requirements</t>
  </si>
  <si>
    <t>2020–2026</t>
  </si>
  <si>
    <t>"Is this a Deepfake?" both versions listed as "being updated," no publication date</t>
  </si>
  <si>
    <t>PRO-03</t>
  </si>
  <si>
    <t>SWGDE Best Practices for Digital Evidence Acquisition from Cloud Service Providers (v1.0)</t>
  </si>
  <si>
    <t>2020</t>
  </si>
  <si>
    <t>SWGDE Forensics</t>
  </si>
  <si>
    <t>Draft Released for Comment</t>
  </si>
  <si>
    <t>§3 Limitations, p.4</t>
  </si>
  <si>
    <t>"Due to the vast number of emerging platforms and cloud service providers, it is not possible to establish a precise set of procedures to cover every situation...This document identifies the high-level considerations and steps for the collection of cloud based digital evidence."</t>
  </si>
  <si>
    <t>Strong explicit scope exclusion; precision procedures deferred to examiner judgment; no confidence metric or AI-specific content follows from this framing</t>
  </si>
  <si>
    <t>"Guidance in this document is not meant to replace legal guidance from a responsible legal professional, nor is it meant to cover every conceivable situation."</t>
  </si>
  <si>
    <t>Legal constraint as structural ceiling on guidance specificity mirrors Doc #38 dominant pattern; legal deference prevents prescriptive output</t>
  </si>
  <si>
    <t>§9 Steps After Acquisition, p.10</t>
  </si>
  <si>
    <t>"Compute and record hash values for the acquired data. If a provider has digitally signed their production or provided hash values, verify the signature or hash values."</t>
  </si>
  <si>
    <t>TEC-03</t>
  </si>
  <si>
    <t>Hash verification is the only quantifiable integrity mechanism in the document a procedural integrity check, not a confidence metric; contingent on provider cooperation</t>
  </si>
  <si>
    <t>§6.2 / §8 During Acquisition, pp.6, 9</t>
  </si>
  <si>
    <t>"If the cloud service does not provide an export tool, the collector should document specific steps taken or tools utilized...If all methods fail, consider screen captures or photographs of the relevant data."</t>
  </si>
  <si>
    <t>Validation methodology absent; fallback to screen captures/photographs as last resort no validated acquisition standard exists for heterogeneous cloud environments</t>
  </si>
  <si>
    <t>Process stall document cannot converge on prescriptive acquisition protocol; provider environment heterogeneity prevents standardization</t>
  </si>
  <si>
    <t>§10 History, p.11</t>
  </si>
  <si>
    <t>Draft June 2019 → public comment period → no edits following comment period → approved September 2019 → re-voted final publication September 2020. Zero substantive changes after public comment.</t>
  </si>
  <si>
    <t>Multi-stage public comment process produced zero substantive changes no confidence measurement content added at any revision stage across 14-month publication cycle</t>
  </si>
  <si>
    <t>Doc 42 dominant pattern: ORG-01 + ORG-06 co-occurrence in §3 now confirmed third consecutive SWGDE document with this dual exclusion opening (Docs #36, #38, #42). Hash verification (TEC-03/CRS-02) in §9 is only integrity mechanism contingent on provider cooperation, reinforcing ORG-02 resource constraint theme. PRO-01 history: zero edits after public comment mirrors Doc #38 three-iteration pattern. Leanest codeable document in corpus almost entirely legal/procedural scaffolding.</t>
  </si>
  <si>
    <t>SWGDE Best Practices for On-Scene ID, Seizure &amp; Preservation of IoT Devices (22-F-001-1.0)</t>
  </si>
  <si>
    <t>§1 Purpose / §2 Scope, pp.2</t>
  </si>
  <si>
    <t>"not intended to be a training manual or a specific operating procedure...not all-inclusive" procedural guidance scoped to on-scene only; cloud, analytics, and AI tool validation explicitly excluded</t>
  </si>
  <si>
    <t>Strong explicit scope exclusion language limits document to field identification/seizure; AI tool output validation and confidence measurement are outside stated scope</t>
  </si>
  <si>
    <t>Doc 36 dominant pattern: ORG-01 (scope exclusion) as primary frame AI/confidence measurement excluded by design, not omission. TEC-01/TEC-02 present in preservation/collection sections without resolution. ORG-02 + PRO-02 co-occur in §9 confirming resource-process barrier dyad. Zero prescriptive confidence output. Compare with Doc #39 (informational positioning) and Doc #38 (legal constraint framing) Doc 36 adds a third SWGDE exclusion logic: operational scope.</t>
  </si>
  <si>
    <t>§7 Collection, pp.7–8</t>
  </si>
  <si>
    <t>Artifact/Data Spoliation "Specific Considerations/Cautions (Instances where probative data exists in volatile memory only or where data overwrites or appends in a finite storage setting)" no error rate or confidence metric specified</t>
  </si>
  <si>
    <t>Acknowledges data integrity risk (volatile memory, finite storage overwrite) but provides no quantitative confidence metric or error rate gap identified, not addressed</t>
  </si>
  <si>
    <t>§8 Preservation, pp.9</t>
  </si>
  <si>
    <t>"Just as the integrity of the data of more traditional devices needs to be preserved through write-blocking or other means, IoT devices and associated applications similarly need information protected and preserved" analogical framing, no IoT-specific validation protocol specified</t>
  </si>
  <si>
    <t>Recognizes that IoT preservation requires equivalent rigor to traditional digital forensics but offers no IoT-specific validation methodology gap acknowledged via analogy without resolution</t>
  </si>
  <si>
    <t>§9 Other Considerations, pp.9</t>
  </si>
  <si>
    <t>"One of the major challenges in data acquisition from IoT devices is the lack of available training, tools, research documents, and collection procedures. Manufacturers may be reluctant to provide assistance..."</t>
  </si>
  <si>
    <t>ORG-02</t>
  </si>
  <si>
    <t>Resource constraint explicit acknowledgment of tool/training/documentation gap as primary barrier to forensic capability in this domain</t>
  </si>
  <si>
    <t>Process stall absence of validated collection procedures is framed as current state, not as a development roadmap; no timeline or prescription for resolution</t>
  </si>
  <si>
    <t xml:space="preserve">SWGDE Training Guidelines for Video/Image Analysis and Photography </t>
  </si>
  <si>
    <t>SWGDE</t>
  </si>
  <si>
    <t>Training Guidelines</t>
  </si>
  <si>
    <t>§1 Purpose
§4 Limitations</t>
  </si>
  <si>
    <t>"provide guidelines and recommendations…program should demonstrate and document the training selected is adequate to ensure competency"</t>
  </si>
  <si>
    <t>—</t>
  </si>
  <si>
    <t>Document-level pattern: ORG-01 (scope exclusion) + TEC-01 (measurement complexity) are co-dominant. TEC-02 present at §5. PRO-01 confirmed via revision history. No AI-specific content (publication date 2016). CRS-02 flags cluster around §3, §9, and §10.5/10.7 competency/proficiency definitions acknowledge measurement without operationalizing it. | Scope exclusion | [code_3]: "Adequate to ensure competency" confidence-adjacent, no quantitative grounding</t>
  </si>
  <si>
    <t>§3 Terminology</t>
  </si>
  <si>
    <t>Competency = "evaluation of knowledge and ability…prior to independent completion"; Proficiency = "evaluation of quality of performance"</t>
  </si>
  <si>
    <t>Document-level pattern: ORG-01 (scope exclusion) + TEC-01 (measurement complexity) are co-dominant. TEC-02 present at §5. PRO-01 confirmed via revision history. No AI-specific content (publication date 2016). CRS-02 flags cluster around §3, §9, and §10.5/10.7 competency/proficiency definitions acknowledge measurement without operationalizing it. | Measurement complexity</t>
  </si>
  <si>
    <t>§9 Training Evaluation
&amp; Documentation</t>
  </si>
  <si>
    <t>"A means of testing an individual's competency…ongoing proficiency…a schedule for the completion of testing"</t>
  </si>
  <si>
    <t>Document-level pattern: ORG-01 (scope exclusion) + TEC-01 (measurement complexity) are co-dominant. TEC-02 present at §5. PRO-01 confirmed via revision history. No AI-specific content (publication date 2016). CRS-02 flags cluster around §3, §9, and §10.5/10.7 competency/proficiency definitions acknowledge measurement without operationalizing it. | Measurement complexity | [code_3]: Competency testing mandated as process requirement no threshold, rubric, or quantitative standard</t>
  </si>
  <si>
    <t>§5 Introduction</t>
  </si>
  <si>
    <t>"Training should include only the use of validated technologies and methods…methods used for validating technologies"</t>
  </si>
  <si>
    <t>Document-level pattern: ORG-01 (scope exclusion) + TEC-01 (measurement complexity) are co-dominant. TEC-02 present at §5. PRO-01 confirmed via revision history. No AI-specific content (publication date 2016). CRS-02 flags cluster around §3, §9, and §10.5/10.7 competency/proficiency definitions acknowledge measurement without operationalizing it. | Validation methodology gap</t>
  </si>
  <si>
    <t>§10.5.1.8
§10.7.1.9</t>
  </si>
  <si>
    <t>"Human factors relating to forming conclusions in analysis (e.g. bias)" [Video Analyst and Image Analyst training topics]</t>
  </si>
  <si>
    <t>Document-level pattern: ORG-01 (scope exclusion) + TEC-01 (measurement complexity) are co-dominant. TEC-02 present at §5. PRO-01 confirmed via revision history. No AI-specific content (publication date 2016). CRS-02 flags cluster around §3, §9, and §10.5/10.7 competency/proficiency definitions acknowledge measurement without operationalizing it. | Measurement complexity | [code_3]: Bias acknowledged no protocol for detecting, quantifying, or correcting; no confidence adjustment mechanism</t>
  </si>
  <si>
    <t>§History
(p. 14)</t>
  </si>
  <si>
    <t>Draft → Public Comment (Jun 2015) → Reworked (Sep 2015) → Re-released → Approved Jan 2016 → Final Feb 2016. Zero confidence content added across all cycles.</t>
  </si>
  <si>
    <t>Document-level pattern: ORG-01 (scope exclusion) + TEC-01 (measurement complexity) are co-dominant. TEC-02 present at §5. PRO-01 confirmed via revision history. No AI-specific content (publication date 2016). CRS-02 flags cluster around §3, §9, and §10.5/10.7 competency/proficiency definitions acknowledge measurement without operationalizing it. | Comment period friction</t>
  </si>
  <si>
    <t>NIST SP 800-53 Rev 5 — Security and Privacy Controls for Information Systems and Organizations</t>
  </si>
  <si>
    <t>NIST SP 800</t>
  </si>
  <si>
    <t>Special Publication (Final)</t>
  </si>
  <si>
    <t>Large document (~492 pages). AI-, confidence-, and validation-relevant sections.</t>
  </si>
  <si>
    <t>§1.1 Purpose and Applicability</t>
  </si>
  <si>
    <t>The use of these controls is mandatory for federal information systems in accordance with Office of Management and Budget (OMB) Circular A-130 and the provisions of the Federal Information Security Modernization Act [FISMA]…other organizations such as state, local, and tribal governments as well as private sector organizations are encouraged to consider using these guidelines, as appropriate.</t>
  </si>
  <si>
    <t>Mirrors the voluntary-framing ORG-01 found at Doc #3 (NIST AI 600-1) but with an inverted structure here mandatory for federal, voluntary for everyone else. This organizational scope bifurcation is a novel ORG-01 expression not yet seen in corpus.</t>
  </si>
  <si>
    <t>No — codebook-constitutive (see Decision Log 4/18/2026)</t>
  </si>
  <si>
    <t>codebook_constitutive</t>
  </si>
  <si>
    <t>codebook-constitutive per Decision Log 2026-04-18</t>
  </si>
  <si>
    <t>§1.5 Revisions and Extensions</t>
  </si>
  <si>
    <t>The security and privacy controls in the control catalog are also expected to change over time as controls are withdrawn, revised, and added…the need for stability is addressed by requiring that proposed modifications to security and privacy controls go through a rigorous and transparent public review process to obtain public and private sector feedback.</t>
  </si>
  <si>
    <t>PRO-01 is most important here the stated design goal of stability over responsiveness is an institutional acknowledgment that the standard will lag emergent threats.</t>
  </si>
  <si>
    <t>§2.5 Trustworthiness and Assurance</t>
  </si>
  <si>
    <t>Assurance is the measure of confidence that the system functionality is implemented correctly, operating as intended, and producing the desired outcome with respect to meeting the security and privacy requirements…Effective measures of trustworthiness are meaningful only to the extent that the requirements are complete, well-defined, and can be accurately assessed.</t>
  </si>
  <si>
    <t>The assurance definition is analytically significant NIST is working with a confidence-adjacent concept at the foundational level, establishing that such measurement is necessary, but the operational content to fulfill the definition is absent from this document and deferred to SP 800-53A.</t>
  </si>
  <si>
    <t>§2.5, Evidence of Control Implementation callout</t>
  </si>
  <si>
    <t>During control selection and implementation, it is important for organizations to consider the evidence (e.g., artifacts, documentation) that will be needed to support current and future control assessments. Such assessments help determine whether the controls are implemented correctly, operating as intended, and satisfying security and privacy policies.</t>
  </si>
  <si>
    <t>This passage describes the need for evidence without describing its form. For traditional security controls, the gap may be filled by SP 800-53A. For AI-specific controls, no equivalent assessment guidance exists within this document family the gap is structural.</t>
  </si>
  <si>
    <t>Chapter 3 Preface / Technology-Neutral Design Statement</t>
  </si>
  <si>
    <t>With few exceptions, the security and privacy controls in the catalog are policy-, technology-, and sector-neutral, meaning that the controls focus on the fundamental measures necessary to protect information and the privacy of individuals across the information life cycle.</t>
  </si>
  <si>
    <t>Technology neutrality as a principle excludes the AI-specific validation guidance that forensic practitioners require. This is the most explicit statement in the corpus of an institutional design choice that produces the AIDFIR gap.</t>
  </si>
  <si>
    <t>RA-3(4) Predictive Cyber Analytics</t>
  </si>
  <si>
    <t>Advanced automation and analytics capabilities are typically supported by artificial intelligence concepts, including machine learning…Note,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</si>
  <si>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AI capability is acknowledged, adversarial risk is noted, and the prescribed response is human augmentation rather than AI validation protocol. First and only AI-specific control enhancement in the document.</t>
  </si>
  <si>
    <t>SI-3 Malicious Code Protection Discussion</t>
  </si>
  <si>
    <t>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t>
  </si>
  <si>
    <t>An AI-based malicious code detection control that produces no guidance on how to validate its outputs, assess its false positive rate, or express confidence in its determinations is the operational embodiment of the AIDFIR gap.</t>
  </si>
  <si>
    <t>SI-19(7) De-identification Validated Algorithms and Software</t>
  </si>
  <si>
    <t>Perform de-identification using validated algorithms and software that is validated to implement the algorithms. Algorithms that appear to remove personally identifiable information from a dataset may in fact leave information that is personally identifiable or data that is re-identifiable.</t>
  </si>
  <si>
    <t>Validation is required but not defined. The requirement is present; the standard to fulfill it is absent. Mirrors SWGDE's "validated technologies" language at the federal level.</t>
  </si>
  <si>
    <t>Errata Table</t>
  </si>
  <si>
    <t>12-10-2020 | Editorial | [18 distinct control-level corrections listed]…Zero confidence measurement or AI-specific guidance additions across all errata.</t>
  </si>
  <si>
    <t>One revision cycle, editorial only. No content addressing the measurement gaps identified elsewhere in the document.</t>
  </si>
  <si>
    <t>NIST AI 100-2 (Adversarial ML) Draft to Final Comment Disposition</t>
  </si>
  <si>
    <t>2024</t>
  </si>
  <si>
    <t>Comment Disposition Report</t>
  </si>
  <si>
    <t>Background / Footnote 1, p.viii</t>
  </si>
  <si>
    <t>While practical guidance published by NIST may serve as an informative reference, this guidance remains voluntary. The content of this document reflects recommended practices. This document is not intended to serve as or supersede existing regulations, laws, or other mandatory guidance.</t>
  </si>
  <si>
    <t xml:space="preserve"> Scope exclusion / voluntary framing. The identical voluntary disclaimer as Doc #3 and Doc #6. Third consecutive NIST AI document to open with explicit non-binding, non-regulatory disclaimer. NIST AI documents are structurally prohibited from prescribing mandatory validation standards for forensic use.</t>
  </si>
  <si>
    <t>Executive Summary, p.xii</t>
  </si>
  <si>
    <t>This report does not make recommendations on risk tolerance (i.e., the level of risk that is acceptable to organizations or society) because it is highly contextual and specific to applications and use cases.</t>
  </si>
  <si>
    <t>Scope exclusion by deliberate design</t>
  </si>
  <si>
    <t xml:space="preserve"> Measurement complexity</t>
  </si>
  <si>
    <t>Most analytically significant ORG-01 instance in the corpus. NIST names risk tolerance and declines to answer it. Institutional face of the AIDFIR gap.</t>
  </si>
  <si>
    <t>§1 Introduction, p.2</t>
  </si>
  <si>
    <t>Modern cryptography often relies on algorithms that are secure in an information-theoretic sense... there are no information-theoretic security proofs for the widely used ML algorithms in modern AI systems.</t>
  </si>
  <si>
    <t>TEC-04</t>
  </si>
  <si>
    <t>Measurement complexity</t>
  </si>
  <si>
    <t>Insufficient empirical evidence base</t>
  </si>
  <si>
    <t>Establishes theoretical foundation for TEC-01 pattern. AI measurement science is immature, now at the mathematical level. AI-specific confidence gap directly and technically named</t>
  </si>
  <si>
    <t>§4.1.1, p.55</t>
  </si>
  <si>
    <t>AI systems that are optimized for accuracy alone tend to underperform in terms of adversarial robustness and fairness... it may not be possible to simultaneously maximize the performance of an AI system with respect to these attributes.</t>
  </si>
  <si>
    <t xml:space="preserve"> AI opacity / explainability barrier</t>
  </si>
  <si>
    <t>Pareto front argument applied to AIDFIR: confidence measurement for forensic AI tools cannot be reduced to a single dimension. Multi-dimensional AI performance trade-off confirmed as a structural barrier to single-metric confidence standards</t>
  </si>
  <si>
    <t>§4.1.2, p.56</t>
  </si>
  <si>
    <t>Designing mitigations is an inherently ad hoc and fallible process…An ongoing challenge in AML is the ability to detect when a model is under attack.</t>
  </si>
  <si>
    <t>Validation methodology gap</t>
  </si>
  <si>
    <t>AI opacity / explainability barrier</t>
  </si>
  <si>
    <t>"Ad hoc and fallible" characterization of mitigation design is the most direct NIST statement in the corpus that AI validation methodology is not merely incomplete but structurally limited. Fundamental limitation on AI reliability validation explicitly stated by NIST</t>
  </si>
  <si>
    <t>§4.1.3, p.57</t>
  </si>
  <si>
    <t>Another general problem of AML mitigations... is the lack of reliable benchmarks, which causes results from AML papers to be routinely incomparable...</t>
  </si>
  <si>
    <t>PRO-04</t>
  </si>
  <si>
    <t xml:space="preserve"> Insufficient empirical evidence base</t>
  </si>
  <si>
    <t>Deferred to future cycle</t>
  </si>
  <si>
    <t>NIST AI's own technical report states that AI mitigation results are routinely incomparable empirical foundation for prescriptive AI confidence standard does not currently exist. Benchmark incomparability confirmed as a structural barrier to AI confidence standardization</t>
  </si>
  <si>
    <t>§4.2.5, p.59</t>
  </si>
  <si>
    <t>A persistent challenge remains in the fact that many AML mitigations are empirical in nature and lack theoretical or provable guarantees... organizations seeking to manage risks... may need to consider practices and measures beyond adversarial testing.</t>
  </si>
  <si>
    <t>NIST identifies "delegation of trust to models in high stakes contexts" as requiring measures beyond existing adversarial testing, then does not specify those measures. Validation requirement for high-stakes AI acknowledged, prescriptive protocol absent</t>
  </si>
  <si>
    <t>§4.2.6, p.60</t>
  </si>
  <si>
    <t>More precisely relating AML attacks and mitigations to processes for achieving these goals and managing risks in AI systems is an area for ongoing work.</t>
  </si>
  <si>
    <t>Integration of AML security with AI risk management processes is explicitly characterized as ongoing future work.</t>
  </si>
  <si>
    <t>Publication History, p.iv</t>
  </si>
  <si>
    <t>Approved by the NIST Editorial Review Board on 2025-03-20.</t>
  </si>
  <si>
    <t>Consultation process inadequacy</t>
  </si>
  <si>
    <t>Revision cycle produced expanded taxonomy and terminology but zero prescriptive confidence measurement protocols, error rate thresholds, or forensic-specific AI validation guidance.</t>
  </si>
  <si>
    <t>4</t>
  </si>
  <si>
    <t>NIST CSF 2.0 — Public Comment Analysis Report</t>
  </si>
  <si>
    <t>NIST CSF</t>
  </si>
  <si>
    <t>News Release / Development Process Surrogate</t>
  </si>
  <si>
    <t>Lede bullets, p.1</t>
  </si>
  <si>
    <t>The update is the outcome of a multiyear process of discussions and public comments aimed at making the framework more effective</t>
  </si>
  <si>
    <t>Multiyear development process reflects organizational scope/capacity constraints on update frequency (ORG-01); formal public comment process confirms Tier 3-level procedural rigor (PRO-03)</t>
  </si>
  <si>
    <t>Saturation tracker: Log 0 new codes for Doc #4. All six codes (ORG-01, ORG-02, ORG-03, CRS-01, PRO-03, PRO-06) were existing codebook entries at time of coding.</t>
  </si>
  <si>
    <t>Governance emphasis, pp. 1–2</t>
  </si>
  <si>
    <t>Added emphasis on governance as well as supply chains; new Govern function added</t>
  </si>
  <si>
    <t>Organizational decision to elevate governance as a new function signals internal recognition that prior versions under-addressed accountability structures &amp;mdash; ORG barrier acknowledged and acted upon</t>
  </si>
  <si>
    <t>Resource ecosystem, p.4 (road graphic)</t>
  </si>
  <si>
    <t>Suite of supplementary resources: Implementation Examples, Quick Start Guides, Mappings, Reference Tool</t>
  </si>
  <si>
    <t>NIST deliberately structures CSF as a hub routing users outward for implementation specifics &amp;mdash; no self-contained technical guidance (CRS-01); Reference Tool and mappings represent cross-document coordination infrastructure (PRO-06)</t>
  </si>
  <si>
    <t>Scope expansion, p.1</t>
  </si>
  <si>
    <t>CSF now explicitly aims to help all organizations &amp;mdash; not just those in critical infrastructure &amp;mdash; to manage and reduce risks</t>
  </si>
  <si>
    <t>Explicit organizational boundary expansion from critical infrastructure to all organizations is the structural mechanism that prevents prescriptive AI-specific guidance &amp;mdash; consistent with CSWP 29 ORG-scope finding</t>
  </si>
  <si>
    <t>NIST IR 8354 (Digital Investigation Techniques) — Public Comment Period Record</t>
  </si>
  <si>
    <t>NIST CFTT</t>
  </si>
  <si>
    <t>§1.1 Scope, p.5</t>
  </si>
  <si>
    <t>This report also does not address other issues such as improved methods for tool validation and verification, privacy, or legal issues, and managing forms of bias within forensic practice. These are outside the scope of this document.</t>
  </si>
  <si>
    <t>Explicit scope exclusion of tool validation improvement, bias management, and legal issues — organizational boundary decision that structurally prevents the document from addressing AI-specific confidence and validation requirements. Fourth consecutive NIST document with this exclusion-by-scope framing.</t>
  </si>
  <si>
    <t>§2.8.5 Standards Organizations, p.25</t>
  </si>
  <si>
    <t>ASTM E3016-18 Standard Guide for Establishing Confidence in Digital and Multimedia Evidence Forensic Results by Error Mitigation Analysis</t>
  </si>
  <si>
    <t>NIST IR 8354 references the ASTM E3016-18 confidence standard as an external document rather than incorporating its framework — confirms cross-document coordination architecture (PRO-06) and the hub-and-spoke pattern previously identified at CRS-01. This is the same ANSI/ASTM E3016-18 standard pending OSAC registry acceptance identified in entry 23.</t>
  </si>
  <si>
    <t>§4.7.1 Analysis Tools, p.39</t>
  </si>
  <si>
    <t>AI tools are powerful, but not perfect, and should be used with caution due to unexpected behaviors. An AI tool may inadvertently introduce bias from a variety of sources. The tool outputs depend on the data set used to train the AI along with other factors and may not be relevant to the data at hand. Results could be misleading and should be verified or confirmed.</t>
  </si>
  <si>
    <t>Measurement complexity — AI output validity is contingent on training data relevance, introducing non-quantifiable uncertainty (TEC-01); opacity/explainability barrier — tool behavior described as potentially unexpected with no prescribed mechanism for predicting or quantifying failure modes (TEC-06). CRS-02: verification mandated but no protocol specified for how to verify AI forensic tool outputs.</t>
  </si>
  <si>
    <t>2025</t>
  </si>
  <si>
    <t>§4.10.1 Error Rates, p.43</t>
  </si>
  <si>
    <t>Digital processes tend to have systematic errors rather than random errors. Therefore, an error mitigation analysis provides more information and is the correct way to manage uncertainty. An error rate is only useful where there are random errors.</t>
  </si>
  <si>
    <t>NIST explicitly establishes that classical error rate metrics do not apply to digital forensic tools — the foundational measurement framework that confidence standards rely on is structurally inapplicable to this domain. Most direct statement in corpus of why AI-specific confidence measurement is a technically distinct problem. CRS-02: error mitigation analysis is recommended as the correct approach but no AI-specific protocol is specified.</t>
  </si>
  <si>
    <t>2026</t>
  </si>
  <si>
    <t>§4.10.3 Software Testing, p.45</t>
  </si>
  <si>
    <t>There are no generally agreed requirements for each forensic task, i.e., no formal standard to test against.</t>
  </si>
  <si>
    <t>Validation methodology gap — absence of agreed requirements means no standard exists against which AI forensic tool outputs can be validated (TEC-02); deferred to future cycle — CFTT treats its own specifications as descriptive rather than prescriptive, meaning the gap is institutionally acknowledged but not scheduled for resolution (PRO-04).</t>
  </si>
  <si>
    <t>2027</t>
  </si>
  <si>
    <t>Chapter 5 Conclusions, p.52</t>
  </si>
  <si>
    <t>While developing this report, we encountered many areas that need further research and improved processes, including better sharing of forensic knowledge... more efficient and consistent approaches to testing forensic tools... better sharing of forensic reference data... better analysis of how digital evidence is used and whether there have been incorrect or misleading conclusions.</t>
  </si>
  <si>
    <t>Deferred to future cycle — NIST explicitly enumerates multiple unresolved knowledge and process gaps and frames them as future research needs rather than active development commitments (PRO-04); no R&amp;D needs escalation — the absence of a structured AI-specific research roadmap within NIST's own scientific foundation review mirrors the ORG-07 pattern previously identified in OSAC annual reports (ORG-07).</t>
  </si>
  <si>
    <t>2028</t>
  </si>
  <si>
    <t>§4.8 Verification and Validation, p.40</t>
  </si>
  <si>
    <t>A software vendor is not required to disclose the software development process followed during tool development.</t>
  </si>
  <si>
    <t>Resource/transparency constraint — absence of mandatory disclosure requirements means the evidentiary basis for AI tool confidence is structurally inaccessible to practitioners and standard-setters alike. Mirrors TEC-06 opacity pattern but at the organizational/regulatory level rather than the technical level.</t>
  </si>
  <si>
    <t>Doc #5 dominant pattern: TEC-01 and CRS-02 co-occur persistently throughout the error rate and tool testing sections. Key analytical finding — NIST's own scientific foundation review confirms that classical error rate metrics are structurally inapplicable to digital forensics (entry 88), which provides the strongest technical-foundation rationale in the corpus for why AI-specific confidence standards cannot simply adopt existing error rate frameworks. The ASTM E3016-18 cross-reference (entry 86) connects directly to the entry 23 OSAC registry stall finding. Together, entries 86 and 23 form a single barrier chain: the applicable confidence standard exists → is referenced by NIST → but remains outside the OSAC registry six-plus years after publication.</t>
  </si>
  <si>
    <t>NIST SP 800-61r3 (Incident Response)</t>
  </si>
  <si>
    <t>Public Comment Record [Proxy: Final Standard]</t>
  </si>
  <si>
    <t>§1.1 Purpose and Scope, p.3</t>
  </si>
  <si>
    <t>"Because the details of how to perform incident response activities change so often and vary so much across technologies, environments, and organizations, it is no longer feasible to capture and maintain that information in a single static publication."</t>
  </si>
  <si>
    <t>Scope exclusion — explicit institutional decision to retreat from prescriptive operational detail; the stated rationale (change velocity, environmental heterogeneity) mirrors ORG-01 scope exclusion logic in SWGDE documents but originates from organizational capacity reasoning rather than legal constraint</t>
  </si>
  <si>
    <t>Revision cycle omission — the shift from SP 800-61r2's operational detail to r3's high-level framework represents a deliberate removal of prescriptive content across revision cycles; this is PRO-03 in the direction of less specificity</t>
  </si>
  <si>
    <t>Structurally significant: this is the only corpus document where prescriptive content was removed in revision, rather than simply not added. SP 800-61r2 (2012) contained detailed incident handling procedures; r3 explicitly abandons that model. ORG-01 + PRO-03 co-occurrence here is the inverse of the typical pattern — most PRO-03 instances involve failure to add AI content; this instance involves deliberate subtraction of operational specificity.</t>
  </si>
  <si>
    <t>"Readers are encouraged to utilize other NIST resources in conjunction with this document…mappings to additional sources of information…available through the NIST Cybersecurity and Privacy Reference Tool (CPRT)."</t>
  </si>
  <si>
    <t>Hub-and-spoke architecture — document explicitly routes users outward to CPRT, CSF 2.0, and supplemental resources for implementation specifics; no self-contained technical guidance provided</t>
  </si>
  <si>
    <t>Standards coordination failure — operational detail is distributed across an ecosystem of linked documents (CSF 2.0, SP 800-53, CPRT mappings) with no single authoritative source for forensic AI validation; this is the same PRO-06 coordination architecture identified in Docs #4 and #5</t>
  </si>
  <si>
    <t>Third consecutive NIST document using the CPRT/supplemental resources routing pattern as the primary implementation mechanism (Docs #4, #5, #7). This cross-document pattern strengthens the PRO-06 finding: the NIST SP 800 series structurally defers prescriptive content to a coordination ecosystem rather than embedding it.</t>
  </si>
  <si>
    <t>Table 3, DE.CM, p.23</t>
  </si>
  <si>
    <t>"Tune the continuous monitoring technologies to reduce false positives and false negatives to acceptable levels."</t>
  </si>
  <si>
    <t>Measurement complexity — "acceptable levels" is undefined; the document acknowledges that a false positive/negative tolerance threshold should exist but provides no operationalization, no numeric range, and no method for determining what "acceptable" means in a given forensic context</t>
  </si>
  <si>
    <t>CRS-02 flag: non-prescriptive confidence language. The phrase "acceptable levels" appears in a High-priority subcategory recommendation but functions as a placeholder — it names the measurement requirement without providing the measurement standard. This is the only error-rate-adjacent language in the entire document.</t>
  </si>
  <si>
    <t>Table 2, GV.RM-03, p.12</t>
  </si>
  <si>
    <t>"Have processes in place so that incident-related decision-making will be informed by other types of risks that the organization faces (e.g., privacy, operational, safety, reputational, AI) and not just cybersecurity risks in isolation."</t>
  </si>
  <si>
    <t>AI awareness gap — AI is listed parenthetically as one of five risk types without elaboration, dedicated guidance, or any downstream AI-specific recommendations anywhere in the document; a 2025 incident response publication that addresses AI only in a parenthetical list represents an unintentional absence relative to current operational context</t>
  </si>
  <si>
    <t>CRS-01 flag: AI mentioned without action. This is the sole AI reference in a 40-page 2025 federal incident response standard. The parenthetical placement alongside "reputational" risk signals that AI is recognized as a category but has not been integrated into the guidance architecture. Analytically this is the clearest ORG-07 instance in the NIST SP 800 series — the document clearly implicates AI incident contexts (ransomware, deepfakes, automated attack tools) yet AI validation guidance is absent apparently unintentionally.</t>
  </si>
  <si>
    <t>Table 3, RS.AN-07, p.29</t>
  </si>
  <si>
    <t>"Formal evidence gathering and handling using chain-of-custody procedures might not be performed for every incident that occurs (e.g., most malware incidents will not result in prosecution). However, collected incident data is still considered evidence."</t>
  </si>
  <si>
    <t>Validation methodology gap — chain-of-custody as the operative evidence integrity mechanism is acknowledged as optional, yet no alternative validation framework is specified for incidents where formal procedures are not followed; the document leaves a methodological void at the point where AI-generated evidence would require the most rigorous handling</t>
  </si>
  <si>
    <t>Legal/admissibility concern — the explicit connection between evidence handling and prosecution potential reflects ORG-06 legal constraint logic; prescriptive chain-of-custody requirements are softened precisely because of litigation variability</t>
  </si>
  <si>
    <t>TEC-02 + ORG-06 co-occurrence mirrors the pattern first seen in Doc #42 (cloud acquisition) where legal variability prevents prescriptive procedural standardization. For AI forensic evidence specifically, the absence of a mandatory chain-of-custody protocol is analytically significant — AI output provenance (model version, training data, inference parameters) requires documentation beyond traditional chain-of-custody and no guidance exists for it here.</t>
  </si>
  <si>
    <t>Appendix C Change Log, p.40</t>
  </si>
  <si>
    <t>"Performed a full rewrite of the previous content…Shifted the focus of the document from guidelines on detecting, analyzing, prioritizing, and handling incidents to recommendations and considerations for incorporating cybersecurity incident response considerations throughout an organization's cybersecurity risk management activities."</t>
  </si>
  <si>
    <t>Revision cycle omission — the change log confirms that the rewrite explicitly replaced operational detection and analysis guidelines with high-level risk management considerations; this is a documented, deliberate removal of the type of prescriptive content where AI validation guidance would reside</t>
  </si>
  <si>
    <t>Scope exclusion — the shift from operational guidelines to risk management considerations is an organizational scope decision, not merely a presentational one; it structurally removes the document as a vehicle for AI-specific forensic validation guidance</t>
  </si>
  <si>
    <t>The Change Log is the most analytically valuable section for Phase 2 purposes: it provides an authoritative institutional record that prescriptive operational content was intentionally removed. This directly supports the dissertation argument that the AIDFIR gap in NIST SP 800-series documents is structural — the 2025 revision moved away from, not toward, the kind of operational specificity that AI validation guidance requires. Strongest PRO-03 instance in the NIST SP 800 sub-corpus.</t>
  </si>
  <si>
    <t>NIST SP 800-218A (Secure Dev for GenAI)</t>
  </si>
  <si>
    <t>§1.2 Scope, p.2</t>
  </si>
  <si>
    <t>"Consistent with SSDF version 1.1 and EO 14110, practices for the deployment and operation of AI systems with AI models are out of scope."</t>
  </si>
  <si>
    <t>Scope exclusion — the explicit exclusion of AI deployment and operation from scope is the single most analytically significant feature of this document for AIDFIR purposes; forensic AI tool validation occurs at deployment and operation, not at development; this scope decision structurally prevents the document from addressing the AIDFIR gap regardless of its AI-specific content</t>
  </si>
  <si>
    <t>This is the most precisely targeted ORG-01 in the corpus. Unlike previous ORG-01 instances (which exclude AI generally), this one excludes specifically the deployment/operation lifecycle stage — the exact stage where forensic practitioners would need confidence and validation guidance. The document is rich with AI-specific development guidance yet structurally unable to address the AIDFIR gap by design.</t>
  </si>
  <si>
    <t>§1.1 Purpose / Authority, p.iii</t>
  </si>
  <si>
    <t>"This publication may be used by nongovernmental organizations on a voluntary basis and is not subject to copyright in the United States."</t>
  </si>
  <si>
    <t>Scope exclusion / voluntary framing — fourth consecutive NIST document with the identical voluntary disclaimer; confirms structural pattern that NIST AI documents cannot prescribe mandatory validation standards</t>
  </si>
  <si>
    <t>Saturation confirmed on voluntary framing ORG-01. No new analytical content — pattern is fully established across Docs #3, #6, #7, #10, #20.</t>
  </si>
  <si>
    <t>§2 Using the SSDF Community Profile, p.4</t>
  </si>
  <si>
    <t>"AI model and system development is still much more of an art than an exact science, requiring developers to interact with model code, training data, and other parameters over multiple iterations."</t>
  </si>
  <si>
    <t>Measurement complexity — NIST explicitly characterizes AI development as non-scientific and iterative, directly undermining the possibility of standardized confidence measurement; this is the strongest TEC-01 framing in the corpus because it comes from a document dedicated to AI development guidance</t>
  </si>
  <si>
    <t>CRS-02 flag: non-prescriptive confidence language. "Art than an exact science" is the most direct NIST statement in the corpus of the epistemic problem underlying TEC-01. Pairs with Doc #10 entry 76 ("inherently ad hoc and fallible"). Together these two passages constitute NIST's official acknowledgment that AI measurement science is not yet mature enough for prescriptive standards.</t>
  </si>
  <si>
    <t>§2, p.4</t>
  </si>
  <si>
    <t>"Generative AI and dual-use foundation models present additional challenges in tracking model versioning and lineage…the final model weights are defined only after the model is trained and fine-tuned; this is where limitations in tracking all aspects of collection, processing, and training arise."</t>
  </si>
  <si>
    <t>Validation methodology gap — the provenance tracking problem for model weights is explicitly acknowledged as a structural limitation of current methodology; even with full compliance, the document cannot guarantee complete validation of AI model lineage</t>
  </si>
  <si>
    <t>AI opacity/explainability barrier — model weights as the core determinant of AI output are explicitly identified as opaque to full tracking; this is TEC-06 at the development level, confirming that opacity is structural not incidental</t>
  </si>
  <si>
    <t>This is the development-side expression of the same opacity barrier identified at the operational level in Doc #39 (§7.4.3) and Doc #10. The weight-opacity problem means that even a perfectly documented AI forensic tool cannot provide full provenance for its outputs — the validation gap is baked in at the architecture level.</t>
  </si>
  <si>
    <t>§2, p.5</t>
  </si>
  <si>
    <t>"A limitation of the SSDF and this Profile is that they only address cybersecurity risk management. There are many other types of risks to AI systems (e.g., data privacy, intellectual property, and bias) that organizations should manage along with cybersecurity risk."</t>
  </si>
  <si>
    <t>Scope exclusion — bias, data privacy, and non-security AI risks are explicitly out of scope; for forensic AI validation, bias quantification and output reliability are central concerns, not peripheral ones; the scope exclusion directly prevents the document from addressing AIDFIR-relevant dimensions</t>
  </si>
  <si>
    <t>Standards coordination failure — the document routes bias, fairness, and broader AI risk to the AI RMF, NIST SP 1270, and other documents; no single document addresses the full validation picture; the hub-and-spoke PRO-06 pattern confirmed for the fifth consecutive NIST document</t>
  </si>
  <si>
    <t>ORG-01 + PRO-06 co-occurrence mirrors Docs #4, #5, #7. The scope limitation here is particularly sharp: bias is a critical forensic AI concern (false identification rates differ across demographic groups) yet it is explicitly sent to a different document. The coordination chain is: bias → AI RMF → NIST SP 1270 → no forensic-specific operationalization anywhere in the chain.</t>
  </si>
  <si>
    <t>Table 1, PO.3.3, p.10</t>
  </si>
  <si>
    <t>"An artifact is 'a piece of evidence'…Evidence is 'grounds for belief or disbelief; data on which to base proof or to establish truth or falsehood'…Examples of artifacts specific to AI model development include attestations of the integrity and provenance of training datasets."</t>
  </si>
  <si>
    <t>Validation methodology gap — the document adopts a legal/evidentiary definition of evidence and applies it to AI model artifacts, then defines the artifacts as attestations of provenance rather than validated output confidence; the gap between evidence-of-process and evidence-of-output-validity is the core AIDFIR problem, and this passage sits precisely at that boundary without crossing it</t>
  </si>
  <si>
    <t>Most analytically rich single passage in the document. NIST uses the word "evidence" in both its legal/evidentiary sense and its technical sense simultaneously — then the only example given is dataset provenance attestation, not output confidence. This is the AIDFIR gap expressed in miniature: the evidence infrastructure exists for development provenance, but nothing equivalent exists for operational output validity.</t>
  </si>
  <si>
    <t>NIST IR 8596 iprd (Cyber AI Profile)</t>
  </si>
  <si>
    <t>Working Group Notes / Workshop Summary</t>
  </si>
  <si>
    <t>"The NIST Cybersecurity Framework (CSF) 2.0 provides voluntary guidance to help organizations manage, reduce, and communicate cybersecurity risks."</t>
  </si>
  <si>
    <t>Scope exclusion / voluntary framing — fifth consecutive NIST document opening with the voluntary disclaimer; saturation on this pattern is confirmed</t>
  </si>
  <si>
    <t>Saturation fully confirmed on voluntary ORG-01. No new analytical content from this instance. Log for frequency count only.</t>
  </si>
  <si>
    <t>"Per the AI Action Plan, the AI RMF is currently in revision and will be included in a future version." (footnote 5)</t>
  </si>
  <si>
    <t>Deferred to future cycle — the foundational AI risk framework that this Profile is explicitly built upon is itself under revision and not yet integrated; the Cyber AI Profile cannot reference a complete AI RMF because it does not yet exist in final form; AI governance infrastructure is incomplete at the time of this document's publication</t>
  </si>
  <si>
    <t>Analytically significant: the AI RMF revision footnote reveals that the NIST AI governance ecosystem is still under construction in 2025. The Profile references the AI RMF as a foundational resource (Introduction) while simultaneously acknowledging it is unavailable in final form. This is the clearest PRO-04 instance in the NIST AI sub-corpus — not a single document deferring content, but the entire AI risk management infrastructure being deferred.</t>
  </si>
  <si>
    <t>Note to Reviewers / §2.3 Profile tables, p.15</t>
  </si>
  <si>
    <t>"NOTE: Work remains ongoing to gather input and feedback, and significant changes are possible before finalizing the Cyber AI Profile. The Cyber AI Profile Preliminary Draft and the tables that follow are an early representation of work in progress."</t>
  </si>
  <si>
    <t>Deferred to future cycle — the entire document is explicitly characterized as incomplete work in progress; AI-specific cybersecurity guidance at the framework level does not yet exist in finalized form as of December 2025</t>
  </si>
  <si>
    <t>Revision cycle omission — the preliminary draft status means all AI validation content present in this document may be removed, modified, or further generalized before publication; the document cannot be treated as a settled standard</t>
  </si>
  <si>
    <t>PRO-04 + PRO-03 co-occurrence is analytically novel — this is the only corpus document where both codes apply simultaneously to the document as a whole rather than to specific passages. The document is not just deferring specific content; its entire existence is preliminary. For dissertation purposes: the most recent NIST AI cybersecurity framework document as of late 2025 is still in preliminary draft, confirming that the institutional infrastructure for AI-specific cybersecurity validation guidance is actively under construction, not merely lagging.</t>
  </si>
  <si>
    <t>§2.1.1 Securing AI System Components, p.9–10</t>
  </si>
  <si>
    <t>"Compared to other types of computer systems, AI behavior and vulnerabilities tend to be more contextual, dynamic, opaque, and harder to predict, as well as more difficult to identify, verify, diagnose, and document, when they appear. Once issues are identified, they can also be difficult to mitigate as some vulnerabilities are inherent to the AI model or the underlying training data and machine-learning infrastructure."</t>
  </si>
  <si>
    <t>Measurement complexity — NIST formally characterizes AI as harder to identify, verify, diagnose, and document than other computer systems; this is a foundational statement that confidence measurement for AI is structurally more difficult, not just currently underdeveloped</t>
  </si>
  <si>
    <t>AI opacity/explainability barrier — "opaque," "harder to predict," and "inherent to the AI model or underlying training data" directly name the opacity/explainability barrier as a structural feature of AI systems, not a solvable technical problem</t>
  </si>
  <si>
    <t>CRS-02 flag: non-prescriptive confidence language. This is the most authoritative TEC-01 + TEC-06 co-occurrence in the corpus — a 2025 NIST preliminary standard explicitly and formally characterizing AI opacity and measurement difficulty as structural. Stronger than Doc #20's "art not science" framing because it comes from a document specifically focused on AI cybersecurity governance. Directly supports the theoretical grounding for the AIDFIR gap argument.</t>
  </si>
  <si>
    <t>GV.RR-02 Defend Focus Area table</t>
  </si>
  <si>
    <t>"Safeguarding AI defense actions against adversarial manipulation, model drift, and hallucination with HITL checks and confidence thresholds that indicate whether an AI output is reliable enough to act upon."</t>
  </si>
  <si>
    <t>Validation methodology gap — confidence thresholds are named as the mechanism for determining AI output reliability, but no threshold values, derivation methods, or standardized confidence expression framework is provided; the gap between naming the solution and specifying it is exactly the AIDFIR gap</t>
  </si>
  <si>
    <t>CRS-02 flag: non-prescriptive confidence language. This is the most direct statement in the entire corpus that confidence thresholds for AI outputs are needed for operational decision-making — yet the threshold values and methodology remain unspecified. For the dissertation: this passage can serve as the primary exhibit of the AIDFIR gap as recognized by NIST itself — the need is named, the standard does not exist.</t>
  </si>
  <si>
    <t>ID.IM-01 General Considerations table</t>
  </si>
  <si>
    <t>"AI introduces a suite of new metrics to consider. Carefully select which metrics closely align with the organization's goals. For instance, perhaps FPs are much more important than false negatives, in which case evaluation metrics will be more heavily influenced by precision rather than recall, and using metrics such as an F1 score may obfuscate results."</t>
  </si>
  <si>
    <t>Measurement complexity — NIST explicitly acknowledges that AI metric selection is context-dependent and that standard aggregate metrics (F1 score) may obfuscate rather than clarify AI performance; this is the corpus's clearest statement that AI error rate quantification cannot be reduced to a single universal standard — the measurement problem is irreducibly complex</t>
  </si>
  <si>
    <t>CRS-02 flag: non-prescriptive confidence language. The F1 obfuscation warning is analytically significant: it establishes that even when organizations want to quantify AI error rates, the choice of metric is itself contested and context-dependent. This directly explains why prescriptive error rate standards have not emerged — the measurement science is not settled. Connects to Doc #10 (Pareto front argument, entry 75) and Doc #5 (error rate inapplicability, entry 88) forming a three-document theoretical chain.</t>
  </si>
  <si>
    <t>Training section, Defend table</t>
  </si>
  <si>
    <t>"AI-enabled defense actions, adversarial ML, prompt injection, model drift, and AI forensics to support personnel in building skills and knowledge."</t>
  </si>
  <si>
    <t>AI awareness gap — "AI forensics" is named as a training topic within a cybersecurity defense training recommendation but receives no further elaboration, no definition, and no associated guidance in any other section of the document; the term appears once and is not operationalized</t>
  </si>
  <si>
    <t>CRS-01 flag: AI mentioned without action. This is the only appearance of "AI forensics" in the entire corpus across all 13 coded documents. Its appearance as a single parenthetical training topic — with no associated standards, protocols, or guidance — is a precise encapsulation of the AIDFIR gap at the institutional level: the field of AI forensics is recognized as requiring specialized skills but no standards exist to define what those skills should produce or how outputs should be validated.</t>
  </si>
  <si>
    <t>21</t>
  </si>
  <si>
    <t>SWGDE Best Practices for Digital Forensic Video Analysis (18-V-001-2.0) — Revisi</t>
  </si>
  <si>
    <t>Revision History (embedded)</t>
  </si>
  <si>
    <t>Revision history / change log section only (embedded in versioned PDF)</t>
  </si>
  <si>
    <t>"No warranty or other representation as to SWGDE work product is made or intended." (cover page) + "These guidelines may also be used to assist organizations when developing standard operating procedures (SOPs) for the processing of video evidence. Organizations should align to the best practices in this document to ensure they adhere to governmental and local laws, regulations, and SOPs."</t>
  </si>
  <si>
    <t>Scope exclusion / voluntary framing — SWGDE positions the document as best-practice guidance to assist SOP development, not as a prescriptive technical standard. The no-warranty disclaimer plus the "may be used to assist" framing is the SWGDE voluntary-alignment frame repeatedly observed across the sub-corpus. CRS-02 flags "should align" as non-prescriptive language.</t>
  </si>
  <si>
    <t>§2 Limitations, p.2</t>
  </si>
  <si>
    <t>"This document is not a training manual, nor a step-by-step methodology."</t>
  </si>
  <si>
    <t>Scope exclusion — explicit self-limitation of the document's reach. The standard explicitly declines to provide methodology. This is a second ORG-01 signal distinct from entry 111 (warranty disclaimer); it operates at the scope-of-content level rather than the legal-framing level.</t>
  </si>
  <si>
    <t>§3.2.1 Types of Examinations, p.3–4</t>
  </si>
  <si>
    <t>Enumeration of 12 examination types (Metadata/Structural Analysis, Transcoding, Timeline Sequence Reconstruction, Speed/Motion Analysis, Pattern/Video Frame Info Analysis, Macroblock Analysis, Frame Difference, Video Frame Extraction, Video Clarification, Comparison, Video File Repair, Video Authentication, Video Recovery, Photogrammetric Analysis, Content Analysis). No examination type includes AI/ML-based analysis (e.g., AI-assisted object detection, facial recognition, deepfake detection, generative-AI authentication).</t>
  </si>
  <si>
    <t>AI awareness gap — the December 2025 v2.0 revision exhaustively enumerates FVA examination types but does not include any AI/ML-based examination category. Given AI tools are routinely used in video clarification, object tracking, and deepfake detection, this is an absence where AI would be expected. Distinguished from ORG-01 (no explicit exclusion language) and PRO-04 (no deferral statement) — the absence is unintentional or unacknowledged.</t>
  </si>
  <si>
    <t>§3.2.1 — Comparison bullet, p.4</t>
  </si>
  <si>
    <t>"Comparison: The analysis of video to extract individual frames and prepare images for comparison. This type of examination can be applied to objects or persons for identification purposes. It requires proper training and a comparison methodology."</t>
  </si>
  <si>
    <t>Validation methodology gap — comparison for identification (including facial comparison) is recognized as requiring "proper training and a comparison methodology," but no validation protocol, error rate reporting requirement, or confidence framework is specified within this document (cross-references are made to 15-I-002-1.1 and 18-I-003-1.0). CRS-02 flags "proper training" as non-prescriptive.</t>
  </si>
  <si>
    <t>2029</t>
  </si>
  <si>
    <t>§3.2.1 — Video Authentication bullet, p.4</t>
  </si>
  <si>
    <t>"Video Authentication: An examination to determine if the file's video content, context, and structure align with the information provided about the file."</t>
  </si>
  <si>
    <t>Standards coordination failure (hub-and-spoke) — authentication is defined only by cross-reference to SWGDE 23-V-001-1.2. Given the 2024–2025 rise of generative-AI video (deepfakes), the authentication category is named but not operationalized within this document, relying entirely on an external document to carry any AI-relevant content. CRS-01 flags AI deepfake authentication as implicitly invoked but without explicit action.</t>
  </si>
  <si>
    <t>2030</t>
  </si>
  <si>
    <t>§4.3.3 Processing, p.9</t>
  </si>
  <si>
    <t>"Any processing performed on the video files should be completed on the working copy and sufficiently documented so that the methods can be reproduced and independently evaluated. This documentation should include the order and settings in which the processes were applied to ensure the integrity and the reproducibility of the results."</t>
  </si>
  <si>
    <t>Measurement complexity (reproducibility framing) — the document mandates reproducibility at the process-documentation level (comparably trained analyst test) but specifies no metric, threshold, or quantitative standard for measuring whether reproducibility has been achieved. This is SWGDE's characteristic pattern: reproducibility as process requirement rather than measurement standard. CRS-02 flags "sufficiently documented" and "ensure reproducibility" as non-prescriptive.</t>
  </si>
  <si>
    <t>2031</t>
  </si>
  <si>
    <t>§4.3.4 Clarification, p.11</t>
  </si>
  <si>
    <t>"Clarification techniques shall be documented in a manner to permit a comparably trained forensic analyst to understand the steps taken, the techniques used, and to extract comparable information from the processed file."</t>
  </si>
  <si>
    <t>Measurement complexity — "comparable information" is the reproducibility standard but is not operationalized. The "comparably trained analyst" test recurs across SWGDE documents as the reproducibility proxy. This is the same pattern as entry 116 but applied specifically to clarification. CRS-02 flag on "comparable information."</t>
  </si>
  <si>
    <t>2032</t>
  </si>
  <si>
    <t>§4.4.1 Opinions, p.12</t>
  </si>
  <si>
    <t>"In instances where a quantitative response is required, a margin of error may be expected, based on the frame information and compression of the images."</t>
  </si>
  <si>
    <t>Measurement complexity — the document acknowledges that quantitative FVA outputs carry margin of error but provides no methodology for computing, expressing, or reporting it. "May be expected" is explicitly non-prescriptive. This is the most direct error-quantification statement in the document and it is left fully open. CRS-02 flag.</t>
  </si>
  <si>
    <t>2033</t>
  </si>
  <si>
    <t>"In instances where the opinion cannot definitively answer the question being asked, an answer of 'inconclusive' may be the only appropriate response."</t>
  </si>
  <si>
    <t>Measurement complexity — the document's confidence framework collapses to a binary (definitive vs. inconclusive) with no intermediate graded confidence expression. No calibration framework, no scaled reporting language, no quantified uncertainty. The "inconclusive" fallback is the de facto uncertainty expression mechanism. CRS-02 flag.</t>
  </si>
  <si>
    <t>2034</t>
  </si>
  <si>
    <t>§7.3 Validation/Confirmation Testing of Tools, p.15</t>
  </si>
  <si>
    <t>"Organizations should have SOPs that address validation and/or verification of software and hardware. Hardware used should meet the developers' minimum specifications. Consideration should be given to archiving previous software versions, builds, and operating systems for processing video evidence from legacy digital video recorder systems and other sources of video."</t>
  </si>
  <si>
    <t>Validation methodology gap + Standards coordination failure — tool validation is devolved entirely to organizations ("organizations should have SOPs that address validation"). The SWGDE document names validation as a requirement but provides no validation methodology, criteria, or standard; cross-reference to SWGDE 18-Q-001-2.1 is the sole content. PRO-06 applies because validation content is carried by the hub-and-spoke cross-reference structure rather than within this document. CRS-02 flag.</t>
  </si>
  <si>
    <t>2035</t>
  </si>
  <si>
    <t>§7.5.2 Competency and Proficiency, p.16</t>
  </si>
  <si>
    <t>"Analysts should demonstrate: an understanding of the scope of work... subject matter knowledge and competence; knowledge of image and/or video processing and evaluation techniques; knowledge of image and/or video compression standards and technologies..." (no AI-specific competency element listed)</t>
  </si>
  <si>
    <t>AI awareness gap — the 2025 competency enumeration does not include AI/ML technical literacy, adversarial content recognition, or deepfake detection competencies, despite these being operationally relevant to current FVA practice. This is a second ORG-07 instance in the document (entry 113 was examination types; this is competencies), reinforcing the pattern: AI is absent from both what analysts do and what they are expected to know.</t>
  </si>
  <si>
    <t>2036</t>
  </si>
  <si>
    <t>§10 History, p.20</t>
  </si>
  <si>
    <t>Revision timeline: 1.0 (2018) → 1.1 (2023, "Updated terminology as part of the five-year review") → 2.0 DRAFT (9/16/2024, "OSAC request for evaluation of vital FVA document... substantive changes to types of examination, request for analysis, examination, video clarification, and further analysis") → 2.0 Final (11/18/2025). No revision introduced AI-specific examination types or AI validation content across the seven-year arc.</t>
  </si>
  <si>
    <t>Revision cycle omission + AI awareness gap — the 2024–2025 substantive revision was triggered by an OSAC request and touched "types of examination" and "further analysis" — both natural insertion points for AI content — yet no AI examination type or AI validation guidance was added. This is the clearest PRO-03 signal in the document: an institutional revision opportunity with explicit scope for adding content was taken up without adding AI-relevant material. ORG-07 reinforces — the absence is not explicitly framed, it simply did not appear.</t>
  </si>
  <si>
    <t>Doc #68 (SWGDE 18-V-001 v2.0) is the most recent SWGDE video best-practice document in the corpus (December 2025) and exhibits the mature SWGDE pattern: ORG-01 voluntary framing + ORG-07 AI awareness gap + TEC-01 measurement complexity + TEC-02 validation methodology gap + PRO-06 hub-and-spoke cross-reference structure. Analytically significant: the 2024 OSAC-triggered revision explicitly reopened the Types of Examinations section (§3.2.1) and the Further Analysis section (§4.3.5), both of which are natural AI insertion points — yet the final 2025 publication introduced no AI/ML examination category, no AI validation protocol, and no AI competency requirement. This is the strongest PRO-03 evidence in the SWGDE video sub-corpus: a revision opportunity with explicit scope coverage was taken without adding AI content. For the dissertation argument: unlike Doc #73 (SWGDE 20-V-001 AI Trends Overview, 2021), which explicitly named AI but did not operationalize it, Doc #68 (the operational standard) does not name AI at all in its examination taxonomy despite being the current governing SWGDE video FVA document. The AIDFIR gap is confirmed at the operational-standard level, not just the overview-document level.</t>
  </si>
  <si>
    <t>15</t>
  </si>
  <si>
    <t>NIST OpenMFC 2020-2021 Evaluation Proceedings and Participant Feedback</t>
  </si>
  <si>
    <t>Working Group Notes / Evaluation Proceedings</t>
  </si>
  <si>
    <t>§1 Introduction, p.1</t>
  </si>
  <si>
    <t>"NIST must support research for the development of measurements and standards necessary to accelerate the development of the technological tools to examine the function and outputs of generative adversarial networks or other technologies that synthesize or manipulate content." (quoting S.2904-IOGAN Act, Dec 2020)</t>
  </si>
  <si>
    <t>Deferred to future cycle — the IOGAN Act directs NIST to develop measurements and standards for GAN/synthetic-content detection; the document frames this as ongoing research support, not as delivery of a finalized measurement standard. The statutory mandate itself establishes the gap: as of 2021, AI-specific measurement standards for synthetic media did not exist; NIST was authorized to begin the research needed to create them. This is the clearest statutory-level PRO-04 instance in the corpus.</t>
  </si>
  <si>
    <t>§1.3 Challenges, p.2</t>
  </si>
  <si>
    <t>"Intrinsically different from other detection technologies, the field of media forensics faces very challenging problems: to find and detect an unknown manipulation... when a new manipulation approach is emerging (e.g., the latest Deepfakes algorithm), existing forensic detection tools may work poorly as the random guess and their performance drops greatly."</t>
  </si>
  <si>
    <t>Measurement complexity + Insufficient empirical base — NIST formally characterizes AI-based manipulation detection as structurally different from other detection technologies and acknowledges that detection performance against novel manipulations approaches random-guess levels. TEC-04 applies because the research base itself is described as trailing adversarial advances; the empirical foundation for confidence in detection outputs is fundamentally incomplete. First TEC-04 activation in corpus.</t>
  </si>
  <si>
    <t>"The deployment of measurement techniques on media forensics additionally faces the challenging problems of constantly and swiftly adapting datasets, evaluation tasks, and evaluation metrics, which are needed to stay up to date with rapid advancements in AI technologies."</t>
  </si>
  <si>
    <t>Measurement complexity + Insufficient empirical base — NIST explicitly names the measurement infrastructure (datasets, tasks, metrics) as itself unable to keep pace with AI advancement. This is a direct statement that the empirical evaluation base is structurally chasing the technology, not anchoring it. Reinforces entry 124 with explicit reference to measurement methodology as the affected domain.</t>
  </si>
  <si>
    <t>§2.6.1, p.7–9; §2.6.2, p.9</t>
  </si>
  <si>
    <t>Team1 AUC = 0.81 without MFC19 training / 0.99 with MFC19 training on same task. "If the data distribution of the training data aligns well with the data distribution of the testing data, the detection algorithm could provide a very good detection result... machine learning systems could perform very well on the training data."</t>
  </si>
  <si>
    <t>Insufficient empirical base + Reproducibility barrier — the 18-point AUC swing (0.81→0.99) for the same team on the same test data based solely on training data access is NIST's own empirical demonstration that AI forensic system performance is not a property of the system but of the training-data configuration. TEC-06 applies because this reveals a fundamental reproducibility problem: the same system produces radically different results depending on prior data exposure. CRS-02 flag: confidence in a system's AUC value is conditional on training provenance, which is not standardized.</t>
  </si>
  <si>
    <t>§2.6.2, p.9</t>
  </si>
  <si>
    <t>"For the IMDL-IO manipulation localization task, the best public team's MCC score in OpenMFC 2020-2021 is 0.055 compared with 0.224, which is the best MCC score on the same dataset in MFC19 evaluation in the DARPA MediFor project."</t>
  </si>
  <si>
    <t>Insufficient empirical base — NIST's own reported result: best public-domain AI manipulation localization MCC score of 0.055 (near-zero; MCC scales −1 to +1). This is a near-random-performance result from the leading AI manipulation detection evaluation program in the U.S. For the dissertation: the empirical base for AI forensic localization in 2021 is not weak — it is near-zero-performance at the public-participant level. Direct quantitative confirmation of the AIDFIR empirical gap.</t>
  </si>
  <si>
    <t>§3.1 Findings, p.10</t>
  </si>
  <si>
    <t>"Media forensic technologies are still under development and not fully mature. Although lots of academic research papers achieved very high detection rate, the performance may drop when the testing dataset is changed... The highest AUC scores in both OpenMFC 2020-2021 and MFC20 on the Image Manipulation Detection (IMD) task are about 0.8. But it is not surprising that the system performance is dramatically reduced in real-world applications with the data collected 'in the wild'..."</t>
  </si>
  <si>
    <t>Insufficient empirical base + Reproducibility barrier — NIST explicitly acknowledges the research-to-deployment performance gap: academic papers report high rates, controlled evaluation gives ~0.8 AUC, real-world deployment drops "dramatically." The evaluation science itself confirms that AI forensic performance metrics reported in academic literature are not reproducible in operational conditions. CRS-02 flag: confidence in reported detection rates is context-dependent in ways not captured by the published numbers.</t>
  </si>
  <si>
    <t>"The current forensic technologies have a long way to go to make a fully automatic system to detect image/video manipulations and to provide a meaningful integrity report."</t>
  </si>
  <si>
    <t>Insufficient empirical base + Deferred to future cycle — NIST's summary judgment on the 2021 state of the art: the technology has "a long way to go" before producing "meaningful integrity reports." This is the confidence-output-level gap stated at the institutional level. Meaningful integrity reporting = operational AI confidence communication, which is exactly what the AIDFIR framework would address. PRO-04 because it frames the gap as a future-work horizon rather than current capability.</t>
  </si>
  <si>
    <t>§3.2 Participants' Challenges, p.10–11</t>
  </si>
  <si>
    <t>"Increases in technical diversity as well as rapid changes in the nature of tools, software, applications and operations used in media manipulation, are occurring at an overwhelming pace... There is a limited amount of time and effort that public researchers can devote to work on an evaluation without additional funding and support... The technical expertise and diversity of skills that make up public research teams."</t>
  </si>
  <si>
    <t>TEC-05</t>
  </si>
  <si>
    <t>Resource constraint + Tool heterogeneity — the research community supporting AI forensic evaluation is resource-limited (ORG-02), and the tool/operation landscape being evaluated is described as diversifying "at an overwhelming pace" (TEC-05). Together these establish that the empirical base is under-resourced against a moving target — a structural limitation on the rate at which confidence benchmarks can be established.</t>
  </si>
  <si>
    <t>§5 Conclusions, p.15</t>
  </si>
  <si>
    <t>"Our hand-on experiences as a government agency evaluation team allows us to provide valuable expertise on the development of approach, standards, guides, and best practices for the measurement and evaluation of AI technologies in media forensics to both internal and external research stakeholders."</t>
  </si>
  <si>
    <t>Deferred to future cycle — NIST positions itself as providing expertise for the future development of standards, guides, and best practices for AI measurement and evaluation. The 2021 document explicitly does not claim that such standards, guides, or best practices currently exist; they are named as outputs NIST is positioned to contribute to. CRS-02 flag: "approach, standards, guides, and best practices" are named aspirationally.</t>
  </si>
  <si>
    <t>Full document structural observation</t>
  </si>
  <si>
    <t>The entire 33-page evaluation report documents AI/ML forensic detection performance (AUC, MCC, ROC/CDR metrics) without providing, cross-referencing, or deriving confidence-expression standards, confidence thresholds for operational use, uncertainty quantification methodology, or error-rate reporting protocols for deployed AI forensic systems. The document is empirically rich (performance numbers) but prescriptively silent (no output standards).</t>
  </si>
  <si>
    <t>AI awareness gap (inverse form) + Validation methodology gap — unusual inverse ORG-07: the document is entirely about AI, yet AI-specific validation and confidence protocols for operational use are absent. TEC-02 applies because the document evaluates detection performance but establishes no validation methodology for translating evaluation-platform performance into operational confidence. This is the cleanest institutional evidence in the corpus that NIST's leading AI media forensics program produces performance data but not confidence-expression standards.</t>
  </si>
  <si>
    <t>Doc #15 is the empirical keystone of the NIST AI sub-corpus. It is the only document in the 78-document corpus that reports quantitative AI forensic performance data from an actual evaluation program, and those data are stark: best public-participant MCC = 0.055 on manipulation localization (near-random); best AUC ≈ 0.8 on detection in controlled conditions, dropping "dramatically" in the wild; AUC swings of 0.81 → 0.99 for the same system based solely on training-data access. These figures provide direct empirical support for what the rest of the corpus argues by absence: the AIDFIR gap is not merely a standards-documentation shortfall, it is an empirical performance shortfall that standards would have to accommodate. The TEC-04 activation at this document is methodologically important — it is not a rare, marginal code; it is heavily activated in the one document with quantitative performance data. This suggests TEC-04's apparent corpus-wide rarity is an artifact of standards documents systematically not reporting empirical performance data, not of the empirical base being adequate. The code's emergence here retroactively sharpens the interpretation of the rest of the corpus: documents that do not report error rates (D2 = 1 in Phase 1) are not merely omitting metrics — they are avoiding a measurement domain that when opened up (as in Doc #15) reveals near-random operational performance.</t>
  </si>
  <si>
    <t>SWGDE Best Practices for Digital Forensic Video Analysis (18-V-001-2.0) — Revision Notes</t>
  </si>
  <si>
    <t>Final Approved</t>
  </si>
  <si>
    <t>Corpus-level structural observation</t>
  </si>
  <si>
    <t>SWGDE did not publish a separate comment disposition record, redline, or revision-notes artifact for v2.0; the sole revision-trail artifact is the §10 History Table embedded in the final standard. Public comments are referenced only in aggregate ("Minor changes to text made in response to public comments," 9/17/2025) without specification of which comments, how they were disposed, or what text was changed.</t>
  </si>
  <si>
    <t>Comment period friction — the deliberation trail is not publicly retained in a separately navigable form. Public comments are named without being enumerated, evaluated, or traceable. This contrasts with NIST SP 800 comment disposition reports (e.g., Doc #6) which publish line-by-line comment records. For the dissertation: the SWGDE public comment process does not produce a public evidentiary record of how external input shaped the standard.</t>
  </si>
  <si>
    <t>18-V-001-2.0 Rev Notes</t>
  </si>
  <si>
    <t>TRUE</t>
  </si>
  <si>
    <t>§10 History, p. 20 (row: 2.0 DRAFT 9/16/2024)</t>
  </si>
  <si>
    <t>"OSAC request for evaluation of vital FVA document and consideration to combine documents for OSAC registry. Evaluation and substantive changes to types of examination, request for analysis, examination, video clarification, and further analysis."</t>
  </si>
  <si>
    <t>Revision cycle omission + AI awareness gap — the 2024 OSAC-triggered revision explicitly reopened Types of Examinations, Examination, Video Clarification, and Further Analysis — the four most plausible insertion points for AI/ML-based FVA content. The Change Log documents these as the substantive change targets. The final v2.0 document (Doc #68) shows that none of these reopened sections added AI content. This is documentary confirmation from the institutional record itself that an AI-insertion opportunity was opened and closed without AI being added. Strongest PRO-03 signal in the SWGDE sub-corpus: revision scope explicitly covered AI-natural sections; no AI content was introduced.</t>
  </si>
  <si>
    <t>§10 History, p. 20 — full revision arc</t>
  </si>
  <si>
    <t>1.0 DRAFT (7/10/2018) → 1.0 Final (11/20/2018) → 1.1 (9/20/2023, "Updated terminology as part of the five-year review") → 2.0 DRAFT (9/16/2024, substantive changes) → 2.0 DRAFT (1/16/2025, minor changes) → 2.0 DRAFT (2/10/2025, formatted) → 2.0 (6/27/2025, vote) → 2.0 (8/7/2025, formatted) → 2.0 (9/17/2025, minor post-comment changes) → 2.0 Final (11/18/2025). Seven-year arc; nine revision entries; zero AI-specific examination types, validation protocols, or competency requirements introduced across all nine.</t>
  </si>
  <si>
    <t>Revision cycle omission + AI awareness gap — nine opportunities across seven years to introduce AI content, none taken. The 2023 "five-year review" specifically exists as a structured revision opportunity under SWGDE process; it produced only terminology updates, not AI content. The 2024–2025 substantive-revision window produced examination-type updates but not AI examination types. This is the temporal density pattern: not one missed opportunity but a sustained pattern of missed opportunities.</t>
  </si>
  <si>
    <t>Doc #21 proxy (§10 History Table of Doc #68) provides the documentary evidentiary anchor for the PRO-03 + ORG-07 pair already identified in Doc #68 entry 122. Where Doc #68 entry 122 inferred revision-cycle omission from the content of the final standard, Doc #21 entries 134 and 135 establish the same finding from the institutional record itself. The two together form a two-source evidentiary chain for the central dissertation claim about SWGDE's operational video standard: (1) the substantive 2024 revision scope explicitly included AI-natural sections (documented at entry 134); (2) the final 2025 standard shows AI was not added to those sections (Doc #68 entries 113, 121). The gap is not an omission one could plausibly attribute to scope limitation — the scope was explicitly opened and explicitly closed without AI. Entry 133 (PRO-01, absence of separately published comment record) adds a second structural finding: the SWGDE deliberation process does not produce a public audit trail of how external AI-related comments, if any were submitted, were handled. For the dissertation: SWGDE's process produces neither AI content nor a publicly inspectable record of AI-related deliberation, even when revision scope explicitly covered the sections where AI belongs.</t>
  </si>
  <si>
    <t>SWGDE Core Competencies for Mobile Device Forensics (12-F-003-2.0) — Five-Year Review</t>
  </si>
  <si>
    <t>§7 History, p. 9 (row: 2.0 DRAFT 5/22/2025)</t>
  </si>
  <si>
    <t>"No public comments received. Moved forward for SWGDE vote to publish as a Final Approved Document."</t>
  </si>
  <si>
    <t>ORG-04</t>
  </si>
  <si>
    <t>Comment period friction + Stakeholder consensus failure — zero public comments received on a document covering mobile device forensics competencies, a sub-discipline where AI/ML tools (Cellebrite, Graykey, Magnet AXIOM) are operationally dominant. The absence of external stakeholder engagement on a 2025 competency document means (1) the public comment process produced no external record that could have introduced AI content (PRO-01), and (2) there was no stakeholder consensus process to weigh AI-competency inclusion because no stakeholders submitted comments (ORG-04). For the dissertation: this is the strongest single-document signal in the corpus that SWGDE's public comment process is structurally producing zero external deliberation input on active-revision competency standards.</t>
  </si>
  <si>
    <t>12-F-003-2.0 Review</t>
  </si>
  <si>
    <t>§7 History, p. 9 — full revision arc</t>
  </si>
  <si>
    <t>1.0 DRAFT (6/5/2012) → 1.0 (2/11/2013) → 1.0 admin update (9/27/2014, "No changes to content") → 2.0 DRAFT (1/16/2025, "Significant reformatting and information update") → 2.0 DRAFT (2/10/2025) → 2.0 DRAFT (5/22/2025, zero public comments) → 2.0 (7/12/2025). Twelve-year gap between substantive revisions (2013 → 2025).</t>
  </si>
  <si>
    <t>Revision cycle omission + AI awareness gap — a twelve-year span between substantive revisions of a mobile device forensics competency standard, ending with a 2025 "Significant reformatting and information update" that is the first opportunity in over a decade to introduce AI/ML competencies. Mobile forensics tools have been AI-heavy since at least 2018; the 2025 revision is the institutional opportunity to codify AI competencies. The final v2.0 content (examined at entry 138) shows this opportunity was not taken.</t>
  </si>
  <si>
    <t>§5.2 Foundational Skills + §5.6 Examination and Analysis, pp. 4, 6–7</t>
  </si>
  <si>
    <t>Foundational Skills enumeration (18 concept items): numbering systems, wiping, file systems, compound files, encoding/decoding, file signatures, parsing, metadata, keyword searching, encryption, database formats, cloud storage, hash algorithms, device components, application storage, recovery states, security technologies, device states. Examination and Analysis enumeration: hash validation, OS recognition, file system formats, tool selection, encrypted applications, backup files, SIM card data, record deletion recoverability. No AI, ML, automated classification, machine categorization, or AI tool evaluation competency listed in either section.</t>
  </si>
  <si>
    <t>AI awareness gap (inverse expectation form) — the 2025 competency standard for mobile device forensics — a sub-discipline where AI-powered tools (Cellebrite Physical Analyzer, Magnet AXIOM, Graykey, Oxygen) are routinely used for artifact identification, media categorization, communication analysis, and timeline reconstruction — does not list AI/ML competencies. This is a stronger ORG-07 signal than Doc #68 because the operational AI-tool saturation in mobile forensics is higher than in video forensics. The absence is not incidental; it is in a 2025 standard explicitly describing "foundational" and "examination" competencies while excluding the foundational and examination competencies that current commercial tooling already uses.</t>
  </si>
  <si>
    <t>§5.2 Foundational Skills, p. 4</t>
  </si>
  <si>
    <t>"Understanding the importance of forensic tool testing and validation to establish confidence in forensic results"</t>
  </si>
  <si>
    <t>Validation methodology gap — tool testing and validation is named as a foundational competency but no validation methodology, criteria, or standard is specified; the competency is defined at the level of understanding the importance rather than executing validation. For AI/ML-based mobile forensic tools (which dominate the current tooling landscape), this framing produces no specific requirement to assess algorithmic performance, training data provenance, or error rates. CRS-02 flags "establish confidence in forensic results" as non-prescriptive confidence language.</t>
  </si>
  <si>
    <t>§5.5 Acquisition, p. 6</t>
  </si>
  <si>
    <t>"Understand the different types of acquisitions, tool limitations and the possible need for additional acquisitions (e.g., logical extraction of data may not retrieve deleted data from the handset, SIM card or memory cards)"; "Knowledge of tool functionality, the limitations and the possible need for additional acquisitions"</t>
  </si>
  <si>
    <t>Tool heterogeneity — the document acknowledges substantial tool-level variation and limitation in mobile device acquisition but does not prescribe how to characterize, compare, or communicate tool limitations. In the AI-tool context this matters because AI-based parsing/carving tools in Cellebrite/Magnet produce different results than non-AI equivalents. The competency frames tool heterogeneity as a thing to understand rather than a thing to report.</t>
  </si>
  <si>
    <t>§5.7 Documentation, p. 7</t>
  </si>
  <si>
    <t>"Ability to locate software audit logs to ensure repeatability and reproducibility"</t>
  </si>
  <si>
    <t>Measurement complexity — repeatability and reproducibility are named as documentation outputs but the document provides no metric, threshold, or standard for either. The mechanism (audit logs) is named; the standard is not. For AI-tool outputs, audit logs may not capture model versions, training data hashes, or inference-time parameters, which are exactly the reproducibility-relevant metadata for AI-based forensic outputs. CRS-02 flag.</t>
  </si>
  <si>
    <t>Doc #25 is the strongest corpus exhibit of SWGDE's competency-standard AI gap, more so than Doc #68 which coded the same pattern for video FVA. Three convergent findings:
Twelve-year substantive revision gap (entry 137). The 2025 revision is the first opportunity since 2013 to introduce AI competencies. The interval itself is analytically significant — SWGDE's five-year review cycle produced only the 2014 administrative update (explicitly noted as "no changes to content") between the initial 2013 publication and the 2025 substantive revision. The AIDFIR gap in mobile forensics competencies has a twelve-year institutional history of non-revision before the single 2025 revision opportunity.
Zero public comments on the 2025 draft (entry 136). The documented 5/22/2025 entry — "No public comments received" — is the clearest single piece of institutional evidence in the corpus that SWGDE's public comment process is not producing the external stakeholder input that would introduce AI competency requirements. This is a failure of the public comment mechanism itself as an AI-inclusion vector.
AI-competency absence in the final 2025 content (entry 138). Against a backdrop of twelve years of non-revision and zero public comments, the 2025 final content produced competency enumerations that list hash algorithms, hexadecimal conversion, compound files, and SIM card physical characteristics — but do not list any AI/ML-related competency, despite commercial mobile forensic tooling being AI-saturated since approximately 2018.
Together these form a three-pronged AIDFIR gap confirmation specific to competency standards: the revision cycle did not produce AI content, the comment process did not produce external AI-related input, and the final document did not include AI competencies. For the dissertation integration: this pattern is specific to competency standards (Doc #25 + #34 SWGDE Training Guidelines, coded earlier) and distinct from the best-practice pattern (Doc #68) and the evaluation-report pattern (Doc #15). Three SWGDE document-type patterns now documented.</t>
  </si>
  <si>
    <t>SWGDE Best Practices for Digital Forensic Video Analysis (18-V-001-1.1) — Archiv</t>
  </si>
  <si>
    <t>Archived Version / Revision History</t>
  </si>
  <si>
    <t>§3.2.1 Types of Examinations, pp. 3–4</t>
  </si>
  <si>
    <t>v1.1 enumeration: Metadata/Structural Analysis, Format Conversion, Timeline Sequence Reconstruction, Speed/Motion Analysis, Pattern/Video Frame Info Analysis, Macroblock Analysis, Frame Difference, Video Frame Extraction, Video Clarification, Comparison, Video File Repair, Video Authentication, Video Recovery. Thirteen examination types. No AI/ML examination category. No Photogrammetric Analysis (added in v2.0). No Content Analysis (added in v2.0).</t>
  </si>
  <si>
    <t>AI awareness gap (pre-revision baseline) — the March 2024 archived v1.1 enumeration establishes the pre-revision FVA examination taxonomy. When compared against v2.0 (Doc #68 entry 113), v2.0 adds Photogrammetric Analysis and Content Analysis but does not add AI/ML examination. This is the comparative anchor for PRO-03: the revision was productive (new examination types were added), which rules out "no revision capacity" as an explanation for the AI absence. The 2024–2025 revision had the institutional capacity to add examination types; it used that capacity for Photogrammetric and Content Analysis, not for AI.</t>
  </si>
  <si>
    <t>§7.5 Training, Competency, and Proficiency, pp. 13–14</t>
  </si>
  <si>
    <t>v1.1 competency enumeration: "Subject matter knowledge and competence; knowledge of image and/or video processing and evaluation techniques; knowledge of image and/or video compression standards and technologies; knowledge of applications and tools utilized in the specific organization; knowledge of SWGDE and SWGIT guidelines..." No AI/ML competency listed. The v2.0 competency enumeration (Doc #68 entry 121) is functionally identical to v1.1 on this point.</t>
  </si>
  <si>
    <t>AI awareness gap + Revision cycle omission — the v1.1 → v2.0 revision window did not touch the competency section in any AI-relevant way. Comparing Doc #28 §7.5 against Doc #68 §7.5, the revision did not introduce AI/ML literacy, adversarial content recognition, deepfake detection, or any AI-related competency requirement. The competency enumeration has remained stable from v1.0 (2018) through v1.1 (2024) through v2.0 (2025) across two revision cycles. This is the clearest multi-cycle PRO-03 pattern: the competency content is not just un-revised in 2024–2025, it is un-revised across the full seven-year span the document has been in force.</t>
  </si>
  <si>
    <t>§9 History, p. 17 — full revision arc</t>
  </si>
  <si>
    <t>1.0 DRAFT (7/10/2018) → 1.0 DRAFT (7/25/2018) → 1.0 (9/20/2018) → 1.0 (11/20/2018) → 1.1 (9/20/2023, "Evaluated comments from committee members, and added new examination methods") → 1.1 (3/22/2024, "Formatted for release as a Final Approved Document"). The 9/20/2023 entry documents that new examination methods were added in the v1.0 → v1.1 revision. v1.1 final (3/22/2024) contains 13 examination types vs. v1.0's original set.</t>
  </si>
  <si>
    <t>Revision cycle omission (strengthened) — the v1.0 → v1.1 revision history specifically documents "added new examination methods," confirming that SWGDE's revision process does produce new examination content when it is added. The 2023 v1.1 additions (compared to the 2018 v1.0) were procedural/technical but not AI-related. This establishes a two-cycle confirmation: neither the v1.0 → v1.1 revision (2018–2023) nor the v1.1 → v2.0 revision (2024–2025) introduced AI examination types, despite both revisions demonstrably having the institutional capacity to add examination methods. PRO-03 is therefore not single-cycle omission but structural non-adoption across multiple consecutive revisions.</t>
  </si>
  <si>
    <t>§4.3.3 Processing, Clarification, and Examination, p. 8</t>
  </si>
  <si>
    <t>v1.1: "Any processing performed on the video files should be completed on the working copy and sufficiently documented so that the methods can be reproduced and independently evaluated." (Identical to v2.0 §4.3.3, Doc #68 entry 116.)</t>
  </si>
  <si>
    <t>Measurement complexity (unchanged across revision) — the reproducibility-as-process-requirement framing is identical in v1.1 and v2.0. The revision did not operationalize reproducibility into measurable terms (no metric, threshold, or quantitative standard added). Confirms that TEC-01 is a stable structural feature of the standard, not an artifact of any particular version. CRS-02 flag on "sufficiently documented."</t>
  </si>
  <si>
    <t>§4.4.1 Opinions, p. 9</t>
  </si>
  <si>
    <t>v1.1: "In instances where a quantitative response is required, a margin of error may be expected, based on the frame information and compression of the images." Identical to v2.0 §4.4.1 (Doc #68 entry 118).</t>
  </si>
  <si>
    <t>Measurement complexity (unchanged across revision) — the "margin of error may be expected" language is verbatim-identical v1.1 → v2.0. The revision did not specify how margin of error should be computed, expressed, or reported. The quantitative-output framing of FVA opinions has remained non-operationalized across both revision cycles. Strongest single-point confirmation that the standard's approach to quantitative uncertainty expression is structurally stable and structurally non-prescriptive. CRS-02 flag.</t>
  </si>
  <si>
    <t>§7.3 Validation/Confirmation Testing of Tools, p. 12</t>
  </si>
  <si>
    <t>v1.1: "Organizations should have SOPs that address validation and/or verification of software and hardware... For more information see SWGDE Minimum Requirements for Testing Tools used in Digital and Multimedia Forensics." Identical content structure to v2.0 §7.3 (Doc #68 entry 120).</t>
  </si>
  <si>
    <t>Validation methodology gap + Standards coordination failure (unchanged across revision) — the hub-and-spoke validation devolution pattern is identical in v1.1 and v2.0. No validation methodology, criteria, or AI-specific validation guidance was introduced in the 2024–2025 revision. The validation content remains carried entirely by cross-reference to 18-Q-001. This stability across revisions anchors PRO-06 as a structural, not transitional, feature of the SWGDE standards architecture. CRS-02 flag on "sufficient confidence" (§7.1.2 parallel language, identical v1.1 and v2.0).</t>
  </si>
  <si>
    <t>SWGDE 16-I-002-2.0 Draft (Forensic Image Analysis)</t>
  </si>
  <si>
    <t>Cover / Disclaimer Regarding Use, p.1</t>
  </si>
  <si>
    <t>"No warranty or other representation as to SWGDE work product is made or intended."</t>
  </si>
  <si>
    <t>Scope exclusion / voluntary framing — the foundational SWGDE disclaimer structurally limits the prescriptive force of the document. Consistent with the saturated ORG-01 pattern across SWGDE corpus.</t>
  </si>
  <si>
    <t>Saturation confirmed on ORG-01 for SWGDE disclaimer pattern. Log for frequency count. The SWGDE boilerplate disclaimer produces ORG-01 in every SWGDE document coded to date.</t>
  </si>
  <si>
    <t>Cover, p.1</t>
  </si>
  <si>
    <t>"The version of this document is in draft form and is being provided for comment by all interested parties for a minimum period of 60 days."</t>
  </si>
  <si>
    <t>Revision cycle omission — the document's operative status is Draft at time of publication; its content (including the absence of AI-specific validation) may be revised before final approval. The document cannot be treated as a settled standard.</t>
  </si>
  <si>
    <t>The draft status here is analytically important: as of the 11/20/2024 release, SWGDE's updated image analysis guidelines remain in a draft/comment posture, and the substantive content is unchanged from v1.1 with respect to AI. The window during which AI content could have been incorporated has not closed, but it has also not produced AI-specific content.</t>
  </si>
  <si>
    <t>§5.4 Image Authentication, p.8</t>
  </si>
  <si>
    <t>"Image Authentication is the process of verifying the content and accuracy of data, ensuring that it truly represents what it purports to be. With the rise of deepfakes, it is essential to be aware of the potential for manipulated content."</t>
  </si>
  <si>
    <t>AI opacity / threat-framing without tooling — deepfakes are explicitly named as a contemporary authentication challenge, but no AI-aware detection methodology, tool validation criteria, or confidence framework for synthetic-media evaluation is provided. The document names the problem at a surface level but does not equip examiners with AI-specific verification practice.</t>
  </si>
  <si>
    <t>Topical coverage gap — AI is introduced exclusively as a threat vector the examiner must authenticate against, never as a tool the examiner uses. The full AIDFIR question — how to validate AI-assisted forensic tools — is absent from scope.</t>
  </si>
  <si>
    <t>Most analytically significant passage in this document. This is the only AI-adjacent sentence in a 14-page 2024 SWGDE guidelines document dedicated to forensic image analysis. The deepfake reference is a one-sided acknowledgment: AI is something that can corrupt evidence, not something whose outputs in an examiner's workflow need independent validation. This passage alone is sufficient evidence for the AIDFIR gap at the operational guidelines level.</t>
  </si>
  <si>
    <t>§5.2 Photographic Comparisons, p.5</t>
  </si>
  <si>
    <t>"Any methodology applied to photographic comparison should incorporate an analysis of the imagery, a comparison of individual features, an evaluation of the significance of the comparison, and a verification of the comparison. The repeatability of the procedure and documentation of the workflow is of paramount importance."</t>
  </si>
  <si>
    <t>Methodology deference — the document specifies what a comparison methodology must include (analysis, comparison, evaluation, verification) but delegates the specifics to ASTM E3149-18, FISWG, and SWGDE 18-I-003-1.0. No AI-comparison-specific methodology is named or required.</t>
  </si>
  <si>
    <t>CRS-02 flag: "evaluation of the significance" is confidence-adjacent without a prescriptive scoring or confidence protocol. The phrase "of paramount importance" applied to repeatability is strong rhetorical emphasis without accompanying technical specification — a pattern consistent with the SWGDE corpus more broadly.</t>
  </si>
  <si>
    <t>§6.4 Documentation, p.9</t>
  </si>
  <si>
    <t>"The application of analytic techniques in a given case should be recorded to the degree that a similarly trained professional could repeat the steps taken."</t>
  </si>
  <si>
    <t>Methodology deference — reproducibility standard is framed as examiner-to-examiner replicability by documentation rather than by a specified protocol (e.g., parameter logging, seed preservation, version pinning). For conventional image processing this is serviceable; for AI-assisted analysis, where reproducibility depends on model version, weights, and random seeds, the standard is silent.</t>
  </si>
  <si>
    <t>This is the closest the document comes to a reproducibility requirement, and it directly maps to D3 = 2 in the rubric. It is the one dimension where the document does something. But the phrasing is precisely the phrasing that will fail when applied to AI tools — "repeat the steps" does not cover model provenance.</t>
  </si>
  <si>
    <t>§6.5 Training to Competency, p.9–10</t>
  </si>
  <si>
    <t>"The examiner should demonstrate: …working knowledge of the potential image processing and evaluation techniques; working knowledge of applications and tools utilized in the specific agency; working knowledge of SWGDE guidelines for capturing, storing, and processing of imagery, including issues relating to topics such as data integrity and compression artifacts; understanding of legal precedent for the use of specific image processing techniques"</t>
  </si>
  <si>
    <t>Topical coverage gap — the examiner competency list covers image processing, agency tools, data integrity, compression artifacts, and legal precedent for image processing techniques. AI tool validation, model evaluation literacy, and understanding of AI-specific legal precedent are absent from the competency specification for a 2024 guidelines document.</t>
  </si>
  <si>
    <t>Measurement complexity not addressed — there is no competency requirement for understanding AI output uncertainty, confidence thresholds, or validation methodology, even though examiners in 2024 are increasingly encountering AI-processed imagery.</t>
  </si>
  <si>
    <t>The competency list is a direct forklift from the SWGIT Section 12 (2012) predecessor with minimal modernization. The opportunity to add AI-literacy competencies in the 2024 revision was not taken. This is one of the clearest documentary traces of the AIDFIR gap at the training/competency level.</t>
  </si>
  <si>
    <t>§6.7.6 Report the opinion, p.11–12</t>
  </si>
  <si>
    <t>"The basis for, and uncertainty of, any opinion should be reflected in the reporting. When a statistical basis for an opinion can be made based on validated probability models, the opinion should be quantitatively reported. When statistical criteria do not exist, the opinion should be reported in terms of the kind of features discerned. If no appropriate statistical model is available, a clear indication of the strength of an opinion should be reported. This will necessarily be a descriptive statement and not a numerical probability, as probability should not be implied where none exists."</t>
  </si>
  <si>
    <t>Measurement complexity — uncertainty reporting is required in principle but the document explicitly declines to specify a scoring scheme, probability framework, or graded scale. Unlike the SWGIT Section 12 predecessor (which offered Appendix B's 0–3 graded scale), this 2024 SWGDE revision removed the graded-scale scaffold and substituted deference to OSAC 2022-S-0001 and the ASA position statement.</t>
  </si>
  <si>
    <t>Methodology deference — OSAC 2022-S-0001 is cited as the reference for describing support levels, delegating the specification of confidence expression to an external standard rather than incorporating it.</t>
  </si>
  <si>
    <t>Important analytic note: The 2024 SWGDE guidelines dropped the explicit graded-scale scaffold that SWGIT Section 12 (2012) provided in Appendix B. The replacement is a pointer to OSAC 2022-S-0001. This is a net reduction in operational confidence guidance within the document, not an improvement — confidence specification moves further out of the document and into an external registry standard. CRS-02 flag: confidence language is present and prescriptive-sounding ("uncertainty…should be reflected") but non-operationalized.</t>
  </si>
  <si>
    <t>§6.7.7, p.12</t>
  </si>
  <si>
    <t>"Independent verification of opinions should be obtained. To avoid confirmation bias, verifiers should not know the results obtained by the original practitioner."</t>
  </si>
  <si>
    <t>Methodology deference — a blinded-verification requirement is specified at the principle level but without an implementation protocol (how blinding is operationalized, what verification coverage is required, how disagreement is resolved). For AI-assisted analysis this creates a compounding ambiguity: if the original examiner used an AI tool, must the verifier also use the same tool, a different tool, or no tool? The document is silent.</t>
  </si>
  <si>
    <t>This is new content relative to the 2012 SWGIT predecessor and reflects a legitimate methodological improvement on confirmation-bias mitigation. But it illustrates the same structural pattern: the 2024 document updates the human-process layer while leaving the AI-tool layer unspecified.</t>
  </si>
  <si>
    <t>§9 Additional Resources, p.13–14</t>
  </si>
  <si>
    <t>[Reference list citing ASTM E3149-18, OSAC 2022-S-0001, ASA Position on Statistical Statements, FISWG guidelines, and six cross-referenced SWGDE documents; no NIST AI, no NIST SP 800, no AI-specific references]</t>
  </si>
  <si>
    <t>Topical coverage gap — the resource list for a November 2024 forensic image analysis document does not reference NIST AI 600-1, NIST AI RMF, NIST IR 8269, or any AI-specific guidance. The 2024 imaging guidelines treat AI as outside the referenced literature despite the document's own §5.4 acknowledgment of deepfakes.</t>
  </si>
  <si>
    <t>The reference list is the cleanest single indicator of topical scope. A 2024 SWGDE image-analysis document with zero AI-related references in its bibliography is strong evidence that AI-specific validation has not entered the SWGDE imaging literature stream. This supports the D4 = 1 score from the rubric and the broader AIDFIR gap thesis.</t>
  </si>
  <si>
    <t>Revision table showing: 1.0 DRAFT 9/15/2016 → 1.0 Approved 2/21/2017 → 1.1 review began 6/14/2023 → 1.1 draft published 5/14/2024 → 2.0 republished 9/16/2024 → 2.0 Draft for Public Comment 11/20/2024</t>
  </si>
  <si>
    <t>Revision cycle omission — the revision history shows a seven-year gap (February 2017 to June 2023) between approval of v1.0 and the start of v1.1 review. The revision cycle captured the rise of generative AI, deepfakes, and AI-assisted image forensics almost entirely within this dormancy window, and the eventual revision (2023–2024) produced only incremental language updates rather than AI-specific content.</t>
  </si>
  <si>
    <t>Topical coverage gap — the 2023–2024 revision opportunity did not incorporate AI validation guidance despite occurring after the publication of NIST AI RMF 1.0 (January 2023) and NIST AI 600-1 (July 2024).</t>
  </si>
  <si>
    <t>Structural finding: the revision cadence of this document is itself a barrier mechanism. SWGDE image-analysis guidelines updated on a ~7-year cycle with substantive content migration limited to terminology and figure refreshes. Even when revision occurred (2023–2024), the scope of revision did not expand to cover AI. This is an organizational/procedural barrier that directly instantiates the AIDFIR gap at the SWGDE imaging level, and it is the strongest single-document evidence for the organizational-scope/update-frequency mechanism proposed in P1.</t>
  </si>
  <si>
    <t>NIST CSF 2.0 Release Announcement</t>
  </si>
  <si>
    <t>Press Release</t>
  </si>
  <si>
    <t>Title &amp; subhead, p.1</t>
  </si>
  <si>
    <t>"NIST Releases Version 2.0 of Landmark Cybersecurity Framework / The agency has finalized the framework's first major update since its creation in 2014."</t>
  </si>
  <si>
    <t>Revision cadence — ten-year gap between CSF 1.0 (2014) and CSF 2.0 (2024) with intermediate 1.1 update (2018). The ten-year major-revision cycle is the defining organizational-scope finding of this document and directly instantiates the P1 mechanism for NIST flagship frameworks.</t>
  </si>
  <si>
    <t>Update frequency explicitly framed as noteworthy ("first major update since 2014") — NIST itself is marking the long cadence.</t>
  </si>
  <si>
    <t>Structural finding parallel to Doc #26 Entry 118. Where Doc #26 showed SWGDE's ~7-year imaging-guideline cadence, Doc #4 shows NIST's decade-scale CSF major-revision cadence. The cadence finding now replicates across both organizations at flagship-document level.</t>
  </si>
  <si>
    <t>Bullet 1, p.1</t>
  </si>
  <si>
    <t>"NIST's cybersecurity framework (CSF) now explicitly aims to help all organizations — not just those in critical infrastructure, its original target audience — to manage and reduce risks."</t>
  </si>
  <si>
    <t>Technology-neutral / audience-general scope expansion. The CSF was redesigned to apply across all organizations regardless of sector or technology, reinforcing the ORG-01 pattern of NIST flagship frameworks adopting sector-neutral scope.</t>
  </si>
  <si>
    <t>TEC-02 (technology-neutral design); CRS-01 (horizontal cross-cutting applicability as design principle).</t>
  </si>
  <si>
    <t>Parallel to Doc #6 Entry 63 (SP 800-53's technology-neutral design). The ORG-01/TEC-02/CRS-01 triad now documented at two NIST flagship frameworks.</t>
  </si>
  <si>
    <t>Bullet 2, p.1</t>
  </si>
  <si>
    <t>"NIST has updated the CSF's core guidance and created a suite of resources to help all organizations achieve their cybersecurity goals, with added emphasis on governance as well as supply chains."</t>
  </si>
  <si>
    <t>Governance elevated to a first-class organizational concern in CSF 2.0 (the new Govern function). Governance framing is an organizational-scope expansion; supply-chain emphasis extends scope to inter-organizational dependencies.</t>
  </si>
  <si>
    <t>PRO-01 (process/procedural emphasis on governance as a managed activity).</t>
  </si>
  <si>
    <t>Note: the explicit naming of governance as a newly emphasized axis is consistent across the 2023–2024 NIST publication cycle (cf. NIST AI RMF governance function). No new code — existing ORG-01 covers.</t>
  </si>
  <si>
    <t>Bullet 3, p.1</t>
  </si>
  <si>
    <t>"This update is the outcome of a multiyear process of discussions and public comments aimed at making the framework more effective."</t>
  </si>
  <si>
    <t>Development process explicitly framed as multiyear and public-comment-driven. PRO-03 (procedural/process barrier — long development and consensus cycles) is directly instantiated by NIST's own characterization of the revision process.</t>
  </si>
  <si>
    <t>ORG-05 (update frequency) — the "multiyear process" framing reinforces the slow revision cadence from Entry 119.</t>
  </si>
  <si>
    <t>Analytically significant: NIST frames "multiyear" as a feature of the process (rigor, inclusivity), not a barrier. The same cadence appears in the coded corpus as a barrier to AI content incorporation. Tension worth memo'ing.</t>
  </si>
  <si>
    <t>Image caption, p.1</t>
  </si>
  <si>
    <t>"More roads lead to NIST's updated cybersecurity framework, which now features quick-start guides aimed at specific audiences, success stories outlining other organizations' implementations, and a searchable catalog of informative references that allows users to cross-reference the framework's guidance to more than 50 other cybersecurity documents."</t>
  </si>
  <si>
    <t>Cross-referencing / interoperability framing. CRS-02 (cross-framework and cross-document referencing as a design pattern) is explicitly invoked via the "searchable catalog" of 50+ informative references. The reference catalog is positioned as a primary distribution mechanism for guidance.</t>
  </si>
  <si>
    <t>ORG-01 (organizational-scope design); TEC-02 (technology-neutral catalog structure applicable across sectors).</t>
  </si>
  <si>
    <t>The 50+ informative references catalog is the Phase 2 operationalization of what CSF 2.0 calls "Informative References." Structurally similar to OSAC informative-reference delegation seen in SWGDE documents (cf. Doc #26 Entry 115), though here NIST retains catalog ownership rather than delegating out.</t>
  </si>
  <si>
    <t>Infographic 2, p.4</t>
  </si>
  <si>
    <t>"TRAVELING THROUGH NIST'S CYBERSECURITY FRAMEWORK (CSF) 2.0 RESOURCES: CSF 2.0 — For industry, government, and organizations to reduce cybersecurity risks; IMPLEMENTATION EXAMPLES — Review action-oriented steps to help you achieve various outcomes of the subcategories; QUICK START GUIDES — For organizations with specific common goals; MAPPINGS — See how NIST's work interrelates and shares themes."</t>
  </si>
  <si>
    <t>Resource ecosystem framing. The CSF 2.0 is positioned not as a single document but as a four-component resource ecosystem (framework + examples + quick-start guides + mappings). CRS-01 (horizontal cross-cutting structure) and CRS-02 (cross-framework reference relationships) are both activated at the ecosystem-design level.</t>
  </si>
  <si>
    <t>PRO-02 (procedural scaffolding via Implementation Examples).</t>
  </si>
  <si>
    <t>Ecosystem pattern contrast with Doc #26. Doc #26 (SWGDE imaging) delegated operational specification out to OSAC; Doc #4 positions NIST as retaining a multi-component ecosystem under its own umbrella. Structural difference in how each SDO handles the guidance-specification burden. Memo this.</t>
  </si>
  <si>
    <t>"CSF 2.0 Reference Tool" paragraph, p.4</t>
  </si>
  <si>
    <t>"A new CSF 2.0 Reference Tool now simplifies the way organizations can implement the CSF, allowing users to browse, search and export data and details from the CSF's core guidance in human-consumable and machine-readable formats."</t>
  </si>
  <si>
    <t>Machine-readable output framing. The Reference Tool is described as providing both human-consumable and machine-readable formats — a technology-neutral delivery mechanism that supports downstream automation. TEC-02 (technology-neutral interfaces) is the direct activation.</t>
  </si>
  <si>
    <t>CRS-02 (cross-reference tooling for navigating the informative references catalog).</t>
  </si>
  <si>
    <t>Machine-readable guidance delivery is novel for this sub-corpus at SDO-flagship level. No new code — TEC-02 covers the underlying technology-neutral interface pattern. Worth noting: the Reference Tool is infrastructure, not content — it doesn't address the D4 gap.</t>
  </si>
  <si>
    <t>SWGDE Best Practices for Digital Forensic Video Analysis (18-V-001-2.0)</t>
  </si>
  <si>
    <t>"The purpose of this document is to provide forensic video analysts with recommendations on the handling and examination of video evidence to successfully introduce such evidence in a court of law. These guidelines may also be used to assist organizations when developing standard operating procedures (SOPs) for the processing of video evidence. Organizations should align to the best practices in this document to ensure they adhere to governmental and local laws, regulations, and SOPs."</t>
  </si>
  <si>
    <t>Organizational scope is explicitly framed at the recommendation/best-practice level ("recommendations," "may be used to assist," "should align") rather than at the requirement level. ORG-01 pattern: SWGDE positions itself as an advisory body, not a specification-setter, deferring requirement-level binding to organizational SOPs.</t>
  </si>
  <si>
    <t>PRO-04 (delegation to organizational SOPs as the operational-specification mechanism); CRS-01 (cross-cutting principle of SDO advisory + local specification).</t>
  </si>
  <si>
    <t>Consistent with SWGDE ORG-01 pattern across the corpus. No new code.</t>
  </si>
  <si>
    <t>"This document is not a training manual, nor a step-by-step methodology... This document does not address the acquisition of digital and multimedia evidence. For more information on data acquisition from DVRs, see SWGDE 17-V-002-1.4... This document does not address the analysis of analog media."</t>
  </si>
  <si>
    <t>Explicit scope-exclusion framing with delegation to 15+ sibling SWGDE documents (enumerated in §8 Additional Resources). The document defines itself largely by what it does not cover, delegating scope to a dense network of cross-referenced SWGDE publications. PRO-04 (procedural delegation) and CRS-02 (cross-document reference structure) are jointly active.</t>
  </si>
  <si>
    <t>CRS-02 (the §8 resource list enumerates 15 SWGDE/SWGIT cross-references).</t>
  </si>
  <si>
    <t>Document is essentially a hub in a SWGDE Video-family network. Specification burden is distributed across ≥15 sibling documents. Memo: this is the SWGDE-internal analog of the NIST ecosystem pattern (Doc #4 Entry 124), but organized as peer document network rather than NIST-style hierarchical framework+QSG+Examples+Mappings.</t>
  </si>
  <si>
    <t>§4.2.4 &amp; §4.2.4 footnote 4, p.7</t>
  </si>
  <si>
    <t>"Create a working copy of the original submitted evidence. Steps should be taken to ensure the integrity of the data acquired; this should include computing a hashing algorithm on the original submitted evidence and the working copy. [Footnote 4:] If hashing is not possible, the reason shall be documented. Once the working copy is verified, it shall be used in lieu of the submitted evidence throughout the assessment, processing, and analysis."</t>
  </si>
  <si>
    <t>Hashing as integrity verification requirement with escape-clause documentation. TEC-01 (technical reproducibility mechanism) is explicitly prescribed, with "shall" language applied to the escape clause.</t>
  </si>
  <si>
    <t>PRO-01 (process-level integrity requirement with documentation fallback).</t>
  </si>
  <si>
    <t>The escape-clause pattern ("if hashing is not possible, the reason shall be documented") is a recurring SWGDE accommodation for legacy/proprietary systems. Memo: this pattern balances aspirational rigor against operational flexibility — characteristic of SWGDE's advisory posture. No new code.</t>
  </si>
  <si>
    <t>§4.3.3, p.9</t>
  </si>
  <si>
    <t>Explicit reproducibility protocol for processing pipelines. TEC-01 activation is stronger here than in most SWGDE documents because the prescription includes "order and settings" — two parameters specifically required to be logged. This approaches parameter-logging reproducibility.</t>
  </si>
  <si>
    <t>PRO-01 (process documentation standard); PRO-02 (technical-review scaffolding).</t>
  </si>
  <si>
    <t>Analytically significant. "Order and settings" specification for processing documentation is the most prescriptive reproducibility language in the SWGDE Video sub-corpus. Drives D3=3 rubric score. Still short of full parameter-log specification (no file format specified, no verification protocol), but notably stronger than Doc #26 §5.2/§6.4.</t>
  </si>
  <si>
    <t>§4.3.4, p.11</t>
  </si>
  <si>
    <t>Use of "shall" (prescriptive-mandatory) rather than "should" (prescriptive-recommended) for documentation of clarification techniques. Prescriptive-language uplift within an otherwise advisory SDO document. TEC-01 (technical reproducibility) is the primary activation.</t>
  </si>
  <si>
    <t>PRO-01 (procedural documentation standard).</t>
  </si>
  <si>
    <t>Prescriptive-language anomaly worth memo'ing. The document generally uses "should" throughout — "shall" appears in only a handful of specific places (§4.2.3 write-protection documentation if read-write; §4.2.4 fn4 hashing documentation; §4.3.3 discrepancy documentation; §4.3.4 clarification documentation). These "shall" islands cluster around documentation requirements, not technical-performance requirements. SWGDE uplifts prescriptive language when the obligation is on the analyst to record, not on the tool to perform.</t>
  </si>
  <si>
    <t>§4.3.4 additional techniques list, p.11</t>
  </si>
  <si>
    <t>"Additional techniques commonly used in video processing which may not be considered clarifications include: adjusting the orientation of video content; adjusting the frame rate of video; stabilizing techniques to fix the position of an area of interest; techniques to deinterlace frames of video; deblocking techniques to reduce the artifacts caused by block-based compression algorithms; signal adjustments such as applying a spatial frequency-based filter to reduce pattern noise; techniques for adjusting scale and aspect ratio."</t>
  </si>
  <si>
    <t>Taxonomy of video-processing techniques enumerated — stabilization, deinterlacing, deblocking, spatial-frequency filtering. All classical signal-processing techniques; none identified as AI-assisted or ML-based. TEC-02 (technology-neutral technique enumeration) is activated, but notably in a way that is implicitly non-AI (the enumerated techniques are the pre-ML toolkit).</t>
  </si>
  <si>
    <t>The silent-on-AI finding. This is the clarification techniques list — exactly where ML-based upscaling, denoising, super-resolution tools would be mentioned if the document addressed contemporary practice. The absence of any mention of AI/ML tools in the 2025 revision is analytically significant. Memo.</t>
  </si>
  <si>
    <t>§4.3.5 Further Analysis, p.12</t>
  </si>
  <si>
    <t>"Categories of further video analysis include: authentication; photogrammetric analysis; content analysis; comparative analysis; video/object tracking."</t>
  </si>
  <si>
    <t>Enumeration of further-analysis categories, each delegated to sibling SWGDE documents (authentication → 23-V-001-1.2; photogrammetric → 15-I-001-1.2; content → 16-I-001-1.2; comparison → 15-I-002-1.1). PRO-04 (delegation) and CRS-02 (cross-document reference structure).</t>
  </si>
  <si>
    <t>CRS-02 activation is corpus-maximum density here — every further-analysis category offloaded to a sibling SWGDE document.</t>
  </si>
  <si>
    <t>Authentication is listed but not substantively addressed in this document; the entire generative-video/deepfake-authentication question is outsourced to 23-V-001-1.2 (published 2023, prior to widespread generative video). The delegation pattern is a structural enabler of the AI silence — if every specialty is delegated to its own document, no single document absorbs the AI-update obligation.</t>
  </si>
  <si>
    <t>"In instances where the opinion cannot definitively answer the question being asked, an answer of 'inconclusive' may be the only appropriate response. In instances where a quantitative response is required, a margin of error may be expected, based on the frame information and compression of the images."</t>
  </si>
  <si>
    <t>Confidence expression is specified as a binary plus undefined margin: either a definitive answer, or "inconclusive," with margin-of-error "expected" but not methodologized. CRS-01 (cross-cutting principle of confidence expression) is activated but at rubric-floor operationalization level.</t>
  </si>
  <si>
    <t>PRO-01 (opinion-rendering procedural step).</t>
  </si>
  <si>
    <t>This is the D1 bottleneck paragraph. The document acknowledges that confidence/uncertainty expression is relevant, acknowledges margin-of-error is relevant for quantitative responses, but provides zero operational methodology for either. The acknowledgment-without-methodology pattern is a recurring SWGDE D1 signature across the corpus.</t>
  </si>
  <si>
    <t>"Organizations should have SOPs that address validation and/or verification of software and hardware. Hardware used should meet the developers' minimum specifications. Consideration should be given to archiving previous software versions, builds, and operating systems for processing video evidence from legacy digital video recorder systems and other sources of video. For more information see SWGDE 18-Q-001-2.1 Minimum Requirements for Testing Tools Used in Digital and Multimedia Forensics."</t>
  </si>
  <si>
    <t>Tool validation requirements explicitly delegated to organizational SOPs ("Organizations should have SOPs that address validation") and to a sibling document (18-Q-001-2.1). The entire tool-validation specification — which is precisely where AI-tool validation guidance would live — is offloaded.</t>
  </si>
  <si>
    <t>TEC-01 (technical validation as the delegated obligation); CRS-02 (sibling-document reference).</t>
  </si>
  <si>
    <t>Critical D4-gap mechanism. This section represents the structural point where AI-specific validation guidance could have been inserted into the 2024–2025 revision and was not. The delegation to SWGDE 18-Q-001-2.1 (a 2018 document, pre-LLM-boom) means the validation specification is anchored in pre-AI-era assumptions. Memo this.</t>
  </si>
  <si>
    <t>§7.5.2 Competency and Proficiency, p.17</t>
  </si>
  <si>
    <t>"Analysts should demonstrate: an understanding of the scope of work and how it will be applied in the forensic environment; subject matter knowledge and competence; knowledge of image and/or video processing and evaluation techniques; knowledge of image and/or video compression standards and technologies; knowledge of applications and tools utilized in the specific organization; knowledge of SWGDE and SWGIT guidelines for capturing, storing, and processing image/video, including topics such as data integrity and compression artifacts; understanding of legal precedent for the use of specific image and/or video processing techniques; knowledge of appropriate case work documentation and ability to follow organizational SOPs."</t>
  </si>
  <si>
    <t>Competency framework explicitly enumerated. Notably absent from the list: knowledge of AI/ML technologies, generative video detection, deepfake authentication, or synthetic-media assessment. ORG-01 (organizational-scope competency definition) activated at the analyst-qualification level.</t>
  </si>
  <si>
    <t>PRO-02 (training/competency scaffolding as procedural requirement).</t>
  </si>
  <si>
    <t>Second AI-silence instance. The competency framework defines what analysts must know. Generative video, deepfakes, and ML-based processing tools are not in the knowledge domain specified. In a 2025-published document, this is an omission with direct implications for the AIDFIR gap: analysts trained to this framework are not required to demonstrate AI-related competency. Memo.</t>
  </si>
  <si>
    <t>Revision table: "1.0 DRAFT 7/10/2018 Initial draft... 1.0 11/20/2018 Final Approved... 1.1 9/20/2023 five-year review... 2.0 DRAFT 9/16/2024 OSAC request for evaluation of vital FVA document and consideration to combine documents for OSAC registry. Evaluation and substantive changes to types of examination, request for analysis, examination, video clarification, and further analysis... 2.0 11/18/2025 Final Approved Document."</t>
  </si>
  <si>
    <t>Revision cadence documentation. The document shows: 2018 original → 2023 five-year review (terminology only) → 2024–2025 substantive revision triggered by OSAC registry consideration. The 2024–2025 revision substantively changed types of examination, clarification, and further analysis — without adding AI content.</t>
  </si>
  <si>
    <t>ORG-05 (update frequency documentation).</t>
  </si>
  <si>
    <t>Cadence finding with OSAC trigger mechanism. Unlike Doc #26 (which showed 7-year dormancy with incremental revision), Doc #21 shows a substantive 2024–2025 revision triggered externally by OSAC. Even with external trigger and substantive scope-revision scope, AI content was not incorporated. This is stronger P1 evidence than Doc #26: the 2024–2025 revision had the opportunity and organizational triggering event for AI incorporation, and still did not.</t>
  </si>
  <si>
    <t>SWGDE Core Competencies for Mobile Device Forensics (12-F-003-2.0)</t>
  </si>
  <si>
    <t>SWGDE Mobile</t>
  </si>
  <si>
    <t>§1 Purpose &amp; §2 Scope, p.2</t>
  </si>
  <si>
    <t>"This document provides an outline of the knowledge and abilities all practitioners of mobile device forensics should possess. The following elements provide a basis for training and testing programs. This basis is suitable for authorization, competency assessment, and proficiency testing... Not all core competencies will be relevant to every practitioner's role in a forensic services organization. These organizations must determine which core competencies are within the scope of their organization and examiners. Lack of competence in one component may not invalidate overall competency."</t>
  </si>
  <si>
    <t>Organizational scope explicitly at the "basis for" level — competencies are framed as a scaffold for organizational programs rather than as requirements. The "organizations must determine" language delegates selection-of-applicable-competencies to the organization. ORG-01 (SDO advisory posture) is explicitly activated.</t>
  </si>
  <si>
    <t>PRO-04 (delegation to organizational determination); CRS-01 (cross-cutting advisory principle).</t>
  </si>
  <si>
    <t>Consistent with the SWGDE ORG-01 pattern. Notable: the document explicitly states "lack of competence in one component may not invalidate overall competency" — this is unusually soft framing for a competency document and worth memo'ing.</t>
  </si>
  <si>
    <t>§2 Scope, p.2</t>
  </si>
  <si>
    <t>"Refer to SWGDE 10-Q-002-3.0 Guidelines &amp; Recommendations for Training in Digital &amp; Multimedia Evidence for general training requirements of forensic practitioners. An examiner should apply all principles as defined in SWGDE 10-Q-001-1.0 Minimum Requirements for Quality Assurance in the Processing of Digital and Multimedia Evidence."</t>
  </si>
  <si>
    <t>Document opens by delegating general training requirements and QA principles to two sibling SWGDE documents (10-Q-002-3.0 from 2010 and 10-Q-001-1.0 from 2010). The foundational QA and training specification layer is entirely outsourced to 15-year-old documents.</t>
  </si>
  <si>
    <t>CRS-02 (sibling-document reference) at very high density.</t>
  </si>
  <si>
    <t>Delegation-to-legacy-documents pattern. Core QA principles are anchored in 2010 documents. This is the same structural pattern as Doc #21 Entry 134 (validation delegated to 18-Q-001-2.1 from 2018), but even more pronounced — here the delegation is to 2010 documents. Worth noting: SWGDE's "foundational" layer predates widespread smartphone ubiquity (iPhone 2007, first Android 2008) — the QA framework anchoring this competency document was authored before the mobile-device ecosystem the document addresses had fully emerged.</t>
  </si>
  <si>
    <t>§4 General Considerations, p.2–3</t>
  </si>
  <si>
    <t>"Mobile device forensics continues to be a dynamic and specialized subdiscipline of digital forensics... Personnel conducting these tasks should be trained to the competencies relevant to their tasks and should remain current in developments in mobile device technologies. This may be accomplished by reading trade journals, taking classes, participating in professional organizations, taking continuing education, on the job training, and hands-on experience."</t>
  </si>
  <si>
    <t>"Stay current" framing with enumeration of informal currency mechanisms (trade journals, classes, conferences, OJT). The currency obligation is placed on the individual analyst rather than operationalized through required curricula or currency checkpoints.</t>
  </si>
  <si>
    <t>ORG-01 (organizational advisory posture); PRO-04 (delegation of currency-maintenance to individual discretion).</t>
  </si>
  <si>
    <t>Structural D4-gap mechanism. The "stay current" language is how SWGDE handles emergent technology topics (including AI) without having to write them into the document. If an analyst is expected to learn about AI-related developments through "trade journals" and "continuing education," SWGDE does not need to incorporate AI content into the competency framework itself. This is a mechanism that actively preserves the D4 gap — continuing education absorbs the update burden.</t>
  </si>
  <si>
    <t>§5.2 Foundational Skills, p.4</t>
  </si>
  <si>
    <t>Only explicit mention of "confidence" in the document. Activation is at the competency-awareness level: the analyst should understand the importance of tool testing/validation, not be able to perform tool testing/validation. TEC-01 (technical reproducibility/validation competency) activated at floor.</t>
  </si>
  <si>
    <t>CRS-01 (cross-cutting confidence framing).</t>
  </si>
  <si>
    <t>D1 bottleneck evidence. Confidence appears exactly once, and as a meta-competency (understanding that validation matters) rather than a methodological competency (being able to quantify or report confidence). This is structurally similar to Doc #21 Entry 133 — SDO acknowledges confidence is relevant, does not operationalize it.</t>
  </si>
  <si>
    <t>§5.2 Foundational Skills enumeration, p.4</t>
  </si>
  <si>
    <t>"Understanding of foundational mobile device forensic concepts including: Reading and converting numbering systems relevant to computing (e.g., hexadecimal, binary); Wiping/sterilization of media; Mobile device file systems and logical structure; Compound files; Encoding/Decoding; File signatures; Parsing; Metadata; Keyword searching and search expressions; Encryption/Decryption; Common database file formats on mobile devices; Cloud storage and backups; Use of hash algorithms; Mobile device components and their functions; Common application data storage techniques; Device recovery states; Mobile device security technologies (e.g., secure enclave, secure startup); Device states and modes of operation"</t>
  </si>
  <si>
    <t>18-item foundational concepts enumeration — a definitive enumeration of what SWGDE considers the mobile forensic technical canon in 2025. Notably absent: AI/ML, synthetic content detection, generative-content artifacts, AI-assisted extraction tools. TEC-02 (technology-neutral technical enumeration) activated, but in a way that implicitly excludes AI from the canon.</t>
  </si>
  <si>
    <t>Silent-on-AI finding — strongest evidence in corpus to date. This is an enumerated canon published 7/12/2025 that functions as a prescriptive list of what analysts must know. The canon does not include AI. Analysts trained to this competency document are not required to demonstrate AI-related knowledge. Stronger than Doc #21 Entry 131 because this list is framed as definitive-competency rather than clarification-technique enumeration.</t>
  </si>
  <si>
    <t>§5.1 Legal Considerations and Ethical Standards, p.3</t>
  </si>
  <si>
    <t>"Understanding of how cognitive bias may influence the collection, perception, and interpretation of data so as to minimize its impact to the digital forensic process"</t>
  </si>
  <si>
    <t>Cognitive bias named as an ethical/competency concern. This is one of the few passages where the document addresses interpretive-reliability concerns beyond technical mechanics. ORG-02 (organizational ethics/bias awareness) activated.</t>
  </si>
  <si>
    <t>PRO-01 (process-level bias mitigation).</t>
  </si>
  <si>
    <t>Notable: cognitive bias is acknowledged, but AI/algorithmic bias is not. A 2025 document naming cognitive bias while omitting algorithmic-bias concerns is analytically interesting — especially given that mobile forensic tools increasingly incorporate ML components whose own biases could compound the analyst's cognitive biases. Memo.</t>
  </si>
  <si>
    <t>§5.5 Acquisition, p.6</t>
  </si>
  <si>
    <t>"Knowledge of tool functionality, the limitations and the possible need for additional acquisitions (e.g., logical extraction of data may not retrieve deleted data from the handset, SIM card or memory cards)... Understand how processing a mobile device can possibly alter the data contained within the device"</t>
  </si>
  <si>
    <t>Tool-limitations awareness specified as competency, but limitations are exemplified only with classical issues (logical vs. physical extraction; deletion recoverability; data-alteration risk). No mention of ML-component limitations, training-data provenance, or model-output reliability. TEC-01 (technical tool-validation competency) activated at pre-AI abstraction level.</t>
  </si>
  <si>
    <t>PRO-01 (process-level tool-limitation awareness).</t>
  </si>
  <si>
    <t>Consistent with Doc #21 Entry 134 finding. Tool-limitation awareness is framed at the classical-forensic-tool abstraction. Modern mobile forensic tools routinely include AI-assisted features (pattern recognition, image classification, voice transcription) that the competency document does not acknowledge as a limitation domain.</t>
  </si>
  <si>
    <t>§5.7 Documentation, p.7</t>
  </si>
  <si>
    <t>"Ability to record contemporaneous notes while conducting the acquisition and examination; Ability to locate software audit logs to ensure repeatability and reproducibility; Ability to write reports per your organizational guidelines containing all relevant information in a clear and concise manner to include unique identifiers of digital device(s) and software versions of forensic tools used"</t>
  </si>
  <si>
    <t>Reproducibility framing at the competency level — the analyst should be able to locate audit logs that ensure repeatability/reproducibility. Reproducibility is attributed to the logs (a tool feature), not to the analyst's documentation practice. Inclusion of "software versions of forensic tools used" in reports is a weak form of parameter logging.</t>
  </si>
  <si>
    <t>TEC-01 (tool-version documentation as a technical reproducibility mechanism).</t>
  </si>
  <si>
    <t>Comparison to Doc #21 §4.3.4 (Entry 130): Doc #21 requires analyst-driven documentation ("shall be documented") of clarification techniques; Doc #25 shifts reproducibility obligation to tool-generated audit logs that the analyst locates. This is a meaningful prescriptive-language weakening relative to Doc #21. Memo.</t>
  </si>
  <si>
    <t>§7 History, p.9</t>
  </si>
  <si>
    <t>Revision table: "1.0 DRAFT 6/5/2012 Initial draft... 1.0 2/11/2013 Final Approved... 1.0 9/27/2014 Document updated per current SWGDE policy with new disclaimer. Removed the Definitions section, and corrected SWGDE hyperlinks. No changes to content and no version/publication date change... 2.0 DRAFT 1/16/2025 Significant reformatting and information update... 2.0 DRAFT 5/22/2025 No public comments received. Moved forward for SWGDE vote to publish as a Final Approved Document... 2.0 7/12/2025 SWGDE voted to approve as a Final Approved Document."</t>
  </si>
  <si>
    <t>Extreme revision cadence. Document was published 2013, administratively touched 2014 (no content change), and not substantively revised until 2025 — a 12-year gap between content-level updates. The 2025 revision was declared substantive ("Significant reformatting and information update") but received zero public comments, moving forward by SWGDE internal vote alone.</t>
  </si>
  <si>
    <t>PRO-03 (development-process barrier — the "no public comments received" state as a process-quality indicator).</t>
  </si>
  <si>
    <t>Cadence finding stronger than either Doc #26 or Doc #21. Doc #26: ~7-year gap (2017 → 2023–2024 revision with minimal AI content). Doc #21: ~7-year gap with OSAC-triggered substantive revision but no AI content. Doc #25: ~12-year gap with internally-triggered substantive revision and zero public engagement, and no AI content. The progression is: longer cadence + weaker external triggering + no public stakeholder input + still no AI content. The mechanism is now visible as compounding: slow cadence + insular revision process + stakeholder disengagement = structural lock-in against AI content absorption.</t>
  </si>
  <si>
    <t>§6 Additional Resources, p.8</t>
  </si>
  <si>
    <t>Six referenced documents listed — all SWGDE, ranging from 2010 (SWGDE 10-Q-001-1.0, 10-Q-002-3.0) to 2023 (SWGDE 23-Q-001-1.1).</t>
  </si>
  <si>
    <t>Narrower cross-reference network than Doc #21 (six references vs. fifteen), but reference dates skew older: three references from 2010–2014 (pre-modern-mobile-ecosystem). PRO-04 delegation to sibling documents; CRS-02 cross-document reference structure.</t>
  </si>
  <si>
    <t>CRS-02 activated with significant age-stratification in the reference network.</t>
  </si>
  <si>
    <t>The competency document's reference network includes foundational training and QA documents from 2010 — before the device ecosystem this document addresses had stabilized. Combined with Entry 138, this shows SWGDE's mobile competency framework is architecturally anchored in pre-smartphone-era foundational documents.</t>
  </si>
  <si>
    <t>SWGDE Best Practices for Digital Forensic Video Analysis (18-V-001-1.1)</t>
  </si>
  <si>
    <t>Final Approved v1.1</t>
  </si>
  <si>
    <t>§9 History, p.17</t>
  </si>
  <si>
    <t>Revision table: "1.0 DRAFT 7/10/2018 Initial draft... 1.0 9/20/2018 Comments from committees and public addressed. SWGDE voted to publish as an Approved document... 1.0 11/20/2018 Formatted and published as Approved version 1.0... 1.1 9/20/2023 Evaluated comments from committee members, and added new examination methods... 1.1 3/22/2024 SWGDE voted to approve as Final Approved Document."</t>
  </si>
  <si>
    <t>Baseline revision-cadence evidence. v1.1 revision was a five-year review (2018 → 2023 evaluation → 2024 final), and the document was approved 3/22/2024 without any AI-related content additions. The "added new examination methods" note in the 9/20/2023 entry refers to video-technical additions (Video File Repair, Video Authentication, Video Recovery categories in §3.2.1), none of which address AI.</t>
  </si>
  <si>
    <t>PRO-03 (revision-process documentation).</t>
  </si>
  <si>
    <t>Longitudinal anchor. This establishes the v1.1 baseline state published 3/22/2024 — nine months before NIST AI 600-1 (July 2024), during active generative-AI-threat discourse in forensic standards. SWGDE's five-year-review window was used to add video-technical content, not AI content.</t>
  </si>
  <si>
    <t>v1.1 enumerates 10 examination types: Metadata and structural analysis; Format conversion; Timeline sequence reconstruction; Speed or motion analysis; Pattern or video frame information analysis; Macroblock analysis; Frame difference; Video frame extraction; Video clarification; Comparison; Video File Repair; Video Authentication; Video Recovery.</t>
  </si>
  <si>
    <t>Examination-type taxonomy as of v1.1. No "Photogrammetric Analysis" or "Content Analysis" categories (these were added in v2.0 — see Doc #21 §3.2.1 which lists 13 types). TEC-02 (technology-neutral technique enumeration) activated at pre-v2.0 abstraction.</t>
  </si>
  <si>
    <t>Delta finding: v2.0 added Photogrammetric Analysis and Content Analysis categories, and added "Transcoding" language replacing "Format conversion." None of the added categories incorporate AI/ML content. The revision scope demonstrably expanded examination-type coverage — but did not use the expansion to address AI.</t>
  </si>
  <si>
    <t>§4.2 Technical Preparation, p.5–6</t>
  </si>
  <si>
    <t>v1.1 §4.2 lacks a "determination of the region(s) of interest" item in the opening Technical Preparation description (Doc #21 §3.1 adds this). v1.1 §4.1 also lacks the "Verify legal authority to perform analysis (e.g., search warrant, consent, open source)" and "Assessing areas or regions of interest can be based on both temporal and spatial information" additions present in Doc #21 v2.0 §4.1.</t>
  </si>
  <si>
    <t>Baseline procedural state. v1.1 does not include the legal-authority verification step or the temporal/spatial region-of-interest analysis framing. Both were added in v2.0. PRO-01 (procedural scope delta); ORG-02 (legal/authority-awareness delta).</t>
  </si>
  <si>
    <t>ORG-02 — v2.0's addition of legal-authority verification is a small uplift in legal-procedural rigor.</t>
  </si>
  <si>
    <t>Delta finding: v2.0 expanded procedural scope at the request-review and preparation stages. Not AI-related — this is procedural hardening that suggests SWGDE's revision attention was directed at legal-procedural tightening, not AI-validation integration.</t>
  </si>
  <si>
    <t>§4.3.3 Processing, Clarification, and Examination, p.8</t>
  </si>
  <si>
    <t>v1.1 combines processing, clarification, and examination into a single §4.3.3 section. The "Discrepancies, if any, between the input video and output video shall be documented" sentence present in Doc #21 §4.3.3 is absent from v1.1. v1.1 lacks the §4.3.3.1 Transcoding subsection, §4.3.3.1.1 Lossless subsection, and §4.3.3.1.2 Lossy subsection that v2.0 adds.</t>
  </si>
  <si>
    <t>Baseline reproducibility-documentation state. The "shall" prescriptive-language instance identified in Doc #21 Entry 130 for discrepancy documentation is not present in v1.1 — it was added in the v2.0 revision. PRO-01 (procedural documentation); TEC-01 (technical discrepancy documentation).</t>
  </si>
  <si>
    <t>TEC-01 — v2.0 strengthened input/output discrepancy documentation.</t>
  </si>
  <si>
    <t>Prescriptive-language delta: Doc #21's "shall" island at §4.3.3 is a v2.0 addition. The v2.0 revision concretely uplifted prescriptive rigor on discrepancy documentation. This is meaningful evidence of what SWGDE can do in a revision — and by contrast, what SWGDE chose not to do re: AI.</t>
  </si>
  <si>
    <t>§4.3.3 Clarification bullet list, p.9</t>
  </si>
  <si>
    <t>v1.1 clarification discussion uses prose-paragraph structure: "Initial corrections should be those that account for the input file structure... The analyst should then make corrections regarding the camera... Once the technical concerns within the recording are resolved regarding the file structure and the camera, the analyst can address specific details within the area of interest."</t>
  </si>
  <si>
    <t>Baseline clarification-technique enumeration. v1.1 does not contain the expanded "Additional techniques commonly used in video processing which may not be considered clarifications include..." list that Doc #21 §4.3.4 adds (deinterlacing, deblocking, spatial frequency filtering, scale/aspect ratio techniques). TEC-02 (technology-neutral technique enumeration at v1.1 scope).</t>
  </si>
  <si>
    <t>PRO-01 (procedural technique taxonomy).</t>
  </si>
  <si>
    <t>Delta finding: v2.0 expanded the enumerated clarification-technique taxonomy. The added techniques (deblocking, spatial-frequency filtering) are all classical signal-processing — same pattern as identified in Doc #21 Entry 131: even when SWGDE expanded the technique taxonomy in the v2.0 revision, AI/ML-based clarification tools remained unmentioned.</t>
  </si>
  <si>
    <t>§4.3 vs Doc #21 §4.3.5, p.7–9</t>
  </si>
  <si>
    <t>v1.1 lacks a §4.3.5 "Further Analysis" subsection. Instead, further-analysis categories (authentication, photogrammetric, content, comparative, video/object tracking) are distributed within the examination-type taxonomy. Doc #21 v2.0 §4.3.5 creates an explicit Further Analysis subsection enumerating these five categories as a distinct procedural phase.</t>
  </si>
  <si>
    <t>Baseline structure: v1.1 treats further analysis implicitly within §3.2.1 taxonomy. v2.0 makes it an explicit procedural phase. PRO-04 (delegation-to-sibling-document structure was already present in v1.1 for authentication, but the organizational surfacing of delegation as its own phase is a v2.0 addition).</t>
  </si>
  <si>
    <t>CRS-02 (sibling-document reference framework activation).</t>
  </si>
  <si>
    <t>Structural delta: v2.0 made the delegation architecture more explicit as a procedural phase. This is an organizational-scope uplift — SWGDE v2.0 recognizes further-analysis specialties as distinct procedural stages. The recognition does not trigger AI-content incorporation; authentication (where deepfake/generative-content detection would live) is still delegated to SWGDE 23-V-001-1.2 (2023).</t>
  </si>
  <si>
    <t>§8 References, p.14</t>
  </si>
  <si>
    <t>v1.1 enumerates 12 numbered references, including SWGIT Section 7 (2009) and SWGIT Section 11 "Best Practices for Documenting Image Enhancement" (no date given in v1.1 reference list). References use bracketed numeric citation format ([1], [2]...).</t>
  </si>
  <si>
    <t>v1.1 reference network: 12 external documents, citation style numbered. Doc #21 v2.0 §8 uses 15 references in narrative-citation format. Reference count and citation style both changed in v2.0.</t>
  </si>
  <si>
    <t>PRO-04 (delegation-to-sibling-document network).</t>
  </si>
  <si>
    <t>Delta finding: v2.0 expanded reference network from 12 to 15 documents — added references to newer SWGDE documents (e.g., SWGDE 19-V-001-1.0 Fundamentals of H.264 Coded Video for Examiners). The reference-network expansion shows SWGDE updated cross-reference density but without adding any AI-specific reference. The cross-reference architecture was refreshed; the AI-content gap was preserved through the refresh.</t>
  </si>
  <si>
    <t>§7.5.2 Competency and Proficiency, p.13–14</t>
  </si>
  <si>
    <t>v1.1 competency enumeration: "An understanding of the scope of work... Subject matter knowledge and competence... Knowledge of image and/or video processing and evaluation techniques... Knowledge of image and/or video compression standards and technologies... Knowledge of applications and tools utilized in the specific organization... Knowledge of SWGDE and SWGIT guidelines... Understanding of legal precedent... Knowledge of appropriate case work documentation and ability to follow organizational SOPs."</t>
  </si>
  <si>
    <t>Baseline competency framework. Near-identical to Doc #21 §7.5.2 competency list (Entry 135). No AI/ML/generative-content competency items in either v1.1 or v2.0. ORG-01 (organizational-scope competency definition); PRO-02 (training/competency scaffolding).</t>
  </si>
  <si>
    <t>PRO-02 activated at baseline state.</t>
  </si>
  <si>
    <t>Null-delta finding — analytically important. The competency framework was not revised between v1.1 and v2.0. SWGDE had a ~21-month revision window to update its analyst-competency requirements in response to generative-AI forensic discourse, and did not do so. The AI-competency gap is preserved verbatim across the revision. This is null-delta evidence in the strongest form.</t>
  </si>
  <si>
    <t>Phase 2 Document Tracker — Coding Progress by Document</t>
  </si>
  <si>
    <t>Update 'Status' and 'Passages coded' after each document. Flag κ subsample docs for Pass 2 scheduling.</t>
  </si>
  <si>
    <t>Doc #</t>
  </si>
  <si>
    <t>Title (short)</t>
  </si>
  <si>
    <t>Status</t>
  </si>
  <si>
    <t>Passages coded</t>
  </si>
  <si>
    <t>Memo written?</t>
  </si>
  <si>
    <t>Published Document (AI-specific) — PRIORITY</t>
  </si>
  <si>
    <t>Pass 1 complete</t>
  </si>
  <si>
    <t>SWGDE Position on Facial Recognition and Facial Comparison — Development and Com</t>
  </si>
  <si>
    <t>NIST OSAC FSSB Meeting Agendas — Public Sessions (2023, multiple quarters)</t>
  </si>
  <si>
    <t>NIST AI RMF Development — Public Comments Received During RFC Period</t>
  </si>
  <si>
    <t>Not started</t>
  </si>
  <si>
    <t>NIST OSAC Annual Reports — Digital/Multimedia SAC (2020, 2021, 2022, 2023) [cons</t>
  </si>
  <si>
    <t>2</t>
  </si>
  <si>
    <t>NIST AI RMF Stakeholder Input Summary (Workshop Ancillary Documentation)</t>
  </si>
  <si>
    <t>3</t>
  </si>
  <si>
    <t>NIST AI 600-1 (Generative AI) — Public Comment Summary</t>
  </si>
  <si>
    <t>News Release / Development Process Surrogate,</t>
  </si>
  <si>
    <t>Pass 2 complete</t>
  </si>
  <si>
    <t>5</t>
  </si>
  <si>
    <t>6</t>
  </si>
  <si>
    <t>NIST SP 800-53 Rev 5 — Comment Disposition Report</t>
  </si>
  <si>
    <t>AI- and confidence-relevant comment threads only (large-volume CDR — apply within-document sampling)</t>
  </si>
  <si>
    <t>7</t>
  </si>
  <si>
    <t>NIST SP 800-61 Rev 3 (Incident Response) — Public Comment Record</t>
  </si>
  <si>
    <t>8</t>
  </si>
  <si>
    <t>NIST SP 800-92 Rev 1 (Log Management) — Initial Public Draft Comment Summary</t>
  </si>
  <si>
    <t>9</t>
  </si>
  <si>
    <t>NIST CSF 2.0 — Change Log and Revision History (v1.1 to v2.0)</t>
  </si>
  <si>
    <t>Revision History</t>
  </si>
  <si>
    <t>10</t>
  </si>
  <si>
    <t>NIST AI 100-2 (Adversarial ML) — Draft to Final Comment Disposition</t>
  </si>
  <si>
    <t>11</t>
  </si>
  <si>
    <t>NIST CFTT Mobile Spec v3.1 — Change Summary from v3.0</t>
  </si>
  <si>
    <t>12</t>
  </si>
  <si>
    <t>NIST CFTT Mobile Spec v3.2 — Change Summary from v3.1</t>
  </si>
  <si>
    <t>13</t>
  </si>
  <si>
    <t>NIST IR 8596 (Cyber AI Profile) — Preliminary Draft Workshop Summary</t>
  </si>
  <si>
    <t>14</t>
  </si>
  <si>
    <t>NIST AI 100-4 (Synthetic Content) — Public Workshop and Stakeholder Feedback</t>
  </si>
  <si>
    <t>Remaining work: Tier 1 κ documents #21, #25, #26, #28 only. Saturation sampling is complete.</t>
  </si>
  <si>
    <t>20</t>
  </si>
  <si>
    <t>NIST SP 800-218A (Secure Dev for GenAI) — Draft Comment Disposition</t>
  </si>
  <si>
    <t>22</t>
  </si>
  <si>
    <t>SWGDE Best Practices for Computer Forensic Examinations (18-F-001-2.0) — Comment</t>
  </si>
  <si>
    <t>23</t>
  </si>
  <si>
    <t>SWGDE Legal and Scientific Support: Admissibility of Image Examinations (23-I-00</t>
  </si>
  <si>
    <t>24</t>
  </si>
  <si>
    <t>SWGDE Guidelines for Forensic Image Analysis (16-I-002-2.0) — Revision Summary v</t>
  </si>
  <si>
    <t>25</t>
  </si>
  <si>
    <t>SWGDE Core Competencies for Mobile Device Forensics (12-F-003-2.0) — Five-Year R</t>
  </si>
  <si>
    <t>26</t>
  </si>
  <si>
    <t>SWGDE Guidelines for Forensic Image Analysis (16-I-002-2.0 Draft) — Draft for Pu</t>
  </si>
  <si>
    <t>27</t>
  </si>
  <si>
    <t>SWGDE Model Standard Operation Procedures (12-F-001-3.0) — Draft for Public Comm</t>
  </si>
  <si>
    <t>28</t>
  </si>
  <si>
    <t>29</t>
  </si>
  <si>
    <t>SWGDE Core Competencies for Digital Forensics (23-F-007-1.1) — Archived with Cha</t>
  </si>
  <si>
    <t>30</t>
  </si>
  <si>
    <t>SWGDE Core Competencies for Digital Forensics (12-F-006-2.0) — Published Final</t>
  </si>
  <si>
    <t>31</t>
  </si>
  <si>
    <t>SWGDE Best Practices for Computer Forensic Acquisitions (17-F-002-2.0) — Revisio</t>
  </si>
  <si>
    <t>32</t>
  </si>
  <si>
    <t>SWGDE Technical Notes on FFmpeg for Forensic Audio Examination (23-A-001-1.0)</t>
  </si>
  <si>
    <t>SWGDE Audio</t>
  </si>
  <si>
    <t>Published Document (technical notes)</t>
  </si>
  <si>
    <t>33</t>
  </si>
  <si>
    <t>SWGDE Test Method for Bluetooth Module Extraction (20-F-003-1.2) — Draft for Com</t>
  </si>
  <si>
    <t>34</t>
  </si>
  <si>
    <t>SWGDE Training Guidelines for Video/Image Analysis and Photography (15-M-001-1.2</t>
  </si>
  <si>
    <t>35</t>
  </si>
  <si>
    <t xml:space="preserve">SWGDE Best Practices for Video Authentication (23-V-001-1.2) — Revision History </t>
  </si>
  <si>
    <t>36</t>
  </si>
  <si>
    <t>SWGDE Best Practices for On-Scene Identification, Seizure, and Preservation of I</t>
  </si>
  <si>
    <t>37</t>
  </si>
  <si>
    <t>SWGDE Introduction to Testimony in Digital and Multimedia Forensics (22-Q-001-1.</t>
  </si>
  <si>
    <t>SWGDE Quality</t>
  </si>
  <si>
    <t>40</t>
  </si>
  <si>
    <t>SWGDE Establishing a Quality Management System (ISO-IEC 17025/17020 v2.0) — Comm</t>
  </si>
  <si>
    <t>41</t>
  </si>
  <si>
    <t>SWGDE Guidelines for Video Evidence Canvassing and Collection (v1.0) — Working G</t>
  </si>
  <si>
    <t>42</t>
  </si>
  <si>
    <t>SWGDE Best Practices for Digital Evidence Acquisition from Cloud Service Provide</t>
  </si>
  <si>
    <t>43</t>
  </si>
  <si>
    <t>SWGDE Best Practices for Mobile Device Evidence Collection &amp; Preservation (v1.2)</t>
  </si>
  <si>
    <t>44</t>
  </si>
  <si>
    <t>SWGDE Best Practice for Frame Timing Analysis of H.264 Video (v1.0) — Initial Pu</t>
  </si>
  <si>
    <t>45</t>
  </si>
  <si>
    <t>SWGDE Practical Considerations for Submission and Presentation of Multimedia Evi</t>
  </si>
  <si>
    <t>C2</t>
  </si>
  <si>
    <t>NIST OSAC FSSB Meeting Agendas — Public Sessions (2024, multiple quarters)</t>
  </si>
  <si>
    <t>C3</t>
  </si>
  <si>
    <t>NIST AI RMF Playbook — Stakeholder Workshop Summary Report</t>
  </si>
  <si>
    <t>C4</t>
  </si>
  <si>
    <t xml:space="preserve">NIST IR 8596 iprd — Cyber AI Profile Public Comment Record and Comment Template </t>
  </si>
  <si>
    <t>Public Comment Record / Comment Template</t>
  </si>
  <si>
    <t>C5</t>
  </si>
  <si>
    <t>NIST OSAC Digital Evidence Subcommittee — R&amp;D Needs Registry Entries</t>
  </si>
  <si>
    <t>Research Needs Report</t>
  </si>
  <si>
    <t>TOTALS</t>
  </si>
  <si>
    <t>Phase 2 Analytic Memo Log — Write after every 5 documents coded</t>
  </si>
  <si>
    <t>Memos document emerging patterns, code boundary decisions, unexpected findings, and tensions between codes. Required for reflexivity audit trail.</t>
  </si>
  <si>
    <t>Memo #</t>
  </si>
  <si>
    <t>After doc(s) #</t>
  </si>
  <si>
    <t>Emerging patterns / observations</t>
  </si>
  <si>
    <t>Code boundary decisions made</t>
  </si>
  <si>
    <t>Tensions / contradictions noted</t>
  </si>
  <si>
    <t>Action items (code changes, new EMER codes, etc.)</t>
  </si>
  <si>
    <t>Observations</t>
  </si>
  <si>
    <t>Document</t>
  </si>
  <si>
    <t>Flag column R (memo note) for entry 7: Dominant pattern: ORG-01 as structural frame; TEC-01/TEC-06 recurring in validation sections; CRS-02 consistent throughout. 2.5-year history with zero prescriptive output. Compare against other SWGDE docs — is informational-only positioning a recurring organizational strategy?</t>
  </si>
  <si>
    <t>Document #38 dominant pattern: ORG-06 (legal/admissibility concern) as primary structural mechanism — distinct from #39's ORG-01 framing. Both documents result in zero prescriptive confidence metrics but via different organizational logics. #38 knows measurement is needed ("standardized scale") but cannot specify it. Emerging cross-document pattern: SWGDE acknowledges AI output limitations consistently but organizational and legal constraints prevent measurement prescription. Compare with NIST documents for organizational barrier contrast.</t>
  </si>
  <si>
    <t>C1 dominant pattern: ORG-07 confirmed cross-quarter — AI is entirely absent from FSSB governance machinery across all four 2023 quarters at the task group, standards pipeline, and SAC action-item levels. December interpretation scales discussion (entry 18) is most significant finding — governance-level confidence measurement discussion explicitly scoped to exclude Digital/Multimedia SAC. Emerging cross-corpus pattern: OSAC institutional structure does not yet have a mechanism for AI governance in the digital forensics domain as of end of 2023. Compare with NIST AI RMF documents (#1, #3) for organizational contrast.</t>
  </si>
  <si>
    <t>Document #1 — access failure finding: EO 14110 rescission January 2025 rendered NIST AI RMF RFC public comment archive inaccessible. This is the only corpus document lost to governmental policy reversal rather than organizational scope decision or technical barrier. Coded PRO-02 + ORG-05 at document level. This finding has direct relevance to P2: even where AI governance standards development processes produced public records, those records are institutionally fragile and subject to political disruption. Cross-reference with CRS-04 (temporal marker — AI emergence period) — the 2020–2025 window is not just a period of AI standards development but also of AI governance instability at the federal level. Consider whether this warrants an emergent code: EMER-01 — Governmental policy reversal as process barrier (distinct from PRO-02 in that it is external and political rather than internal and procedural).</t>
  </si>
  <si>
    <t>Document #16 — most significant single-document finding in corpus: Digital Evidence Subcommittee has zero identified R&amp;D needs (entry 22) — strongest ORG-07 finding to date. ANSI/ASTM E3016-18 confidence standard (directly addresses confidence in digital evidence forensic results) has been pending OSAC registry acceptance since 2018 — strongest PRO-02 in corpus and direct empirical support for P2. First SWGDE documents entered OSAC Registry only in FY23 after nine years — confirms ORG-05 institutional siloing between NIST and SWGDE is not just a documentation issue but a structural governance gap. Cross-corpus pattern now clearly established: organizational awareness gap (ORG-07) + process deadlock on the one existing confidence standard (PRO-02) + first-ever cross-organizational registry integration only in 2023 (ORG-05) = three convergent barriers that collectively explain why digital forensics AI confidence measurement has not advanced to prescriptive standards. This is your P2 confirmation pattern.</t>
  </si>
  <si>
    <t>2026-04-13</t>
  </si>
  <si>
    <t>Doc 36 dominant pattern: ORG-01 (scope exclusion) as primary frame — AI/confidence measurement excluded by design, not omission. TEC-01/TEC-02 present in preservation/collection sections without resolution. ORG-02 + PRO-02 co-occur in §9 confirming resource-process barrier dyad. Zero prescriptive confidence output.</t>
  </si>
  <si>
    <t>ORG-01 vs ORG-07: Doc 36 excludes AI by scope design (ORG-01), not because the organization lacks awareness (ORG-07) — scope exclusion is the more precise code here.</t>
  </si>
  <si>
    <t>Three SWGDE exclusion logics now confirmed: Doc 39 = informational positioning (ORG-01); Doc 38 = legal constraint (ORG-06); Doc 36 = operational scope (ORG-01). All produce zero prescriptive confidence output but via distinct institutional mechanisms.</t>
  </si>
  <si>
    <t>No new EMER codes required. ORG-02 + PRO-02 dyad in §9 is consistent with existing codebook. Flag for cross-document pattern analysis in final memo.</t>
  </si>
  <si>
    <t>Doc 42 dominant pattern: ORG-01 + ORG-06 dual exclusion in §3 now confirmed third consecutive SWGDE document (Docs #36, #38, #42). Hash verification (TEC-03/CRS-02) only integrity mechanism — contingent on provider cooperation. PRO-01: zero edits after public comment across 14-month cycle. Leanest codeable document in corpus.</t>
  </si>
  <si>
    <t>TEC-03 vs TEC-01: hash verification is an integrity check (TEC-03), not a confidence measurement gap (TEC-01) — no AI output being assessed here; distinction holds.</t>
  </si>
  <si>
    <t>ORG-01 + ORG-06 co-occurrence in §3 is now a confirmed SWGDE structural pattern across at least three documents. Cross-corpus pattern: SWGDE best practices documents open with dual scope/legal exclusion and produce zero prescriptive confidence output regardless of domain (IoT, cloud, facial recognition).</t>
  </si>
  <si>
    <t>No new EMER codes. Flag ORG-01+ORG-06 dyad as candidate theme node for P2 findings synthesis.</t>
  </si>
  <si>
    <t>Document-level pattern: ORG-01 (scope exclusion) + TEC-01 (measurement complexity) are co-dominant. TEC-02 present at §5. PRO-01 confirmed via revision history. No AI-specific content (publication date 2016). CRS-02 flags cluster around §3, §9, and §10.5/10.7 — competency/proficiency definitions acknowledge measurement without operationalizing it.</t>
  </si>
  <si>
    <t>Doc #6 is analytically the most important NIST document coded so far for your P1/P2 cross-phase integration. Three findings dominate. First, the technology-neutral design principle (Entry 67) is the most explicit institutional statement in the corpus of a design choice that produces the AIDFIR gap. It is not an oversight — it is an architectural decision. Second, RA-3(4) Predictive Cyber Analytics (Entry 68) is the sole AI-specific control enhancement in a 492-page document, and it prescribes human oversight as the AI reliability response rather than a validation protocol. Third, the assurance definition in §2.5 (Entry 65) establishes that confidence measurement is conceptually present in NIST's framework but deferred to SP 800-53A — a cross-document dependency that is itself a PRO-01 pattern.</t>
  </si>
  <si>
    <t>Entry 67 receives both ORG-01 and TEC-02 — these are not redundant. ORG-01 captures the institutional scope decision; TEC-02 captures the methodological consequence for AI validation. The CRS-01 flag at Entry 67 is warranted because the technology-neutral principle is the most direct statement of why AI-specific confidence guidance is absent. Entry 68 receives TEC-06 (first activation in a NIST document) alongside TEC-01 — the adversarial model retraining risk is an opacity/explainability problem before it is a measurement complexity problem.</t>
  </si>
  <si>
    <t>The validated-without-definition pattern at Entry 70 (SI-19(7)) is the federal-level analog of Doc #34's "validated technologies" requirement (SWGDE Entry 43). Both mandate validation as a principle; neither specifies a methodology. This cross-corpus parallel directly supports your TEC-02 finding. The PRO-01 errata pattern (Entry 71) continues the multi-document pattern: one revision cycle, editorial only, zero AI-specific content additions — now confirmed across NIST (Doc #6) and SWGDE (Docs #34, #42, #45) revision records.</t>
  </si>
  <si>
    <t>Doc #6 has higher D1 and D3 scores than most SWGDE documents (both score 2) because NIST conceptually addresses assurance and validation evidence. But D4 collapses both to 1 via the min-score rule. This is analytically important: NIST's greater conceptual sophistication on confidence and reproducibility makes the AI-specific gap more visible, not less. A document that knows what assurance means and still cannot provide AI-specific assurance guidance is a stronger demonstration of the gap than a document that never addresses the concept.</t>
  </si>
  <si>
    <t>Doc #10 is the most technically rich document in the corpus and produces the corpus's strongest TEC-01, TEC-04, and TEC-06 evidence. Three findings dominate. First, the mathematical impossibility argument (Entry 74): ML systems have no information-theoretic security proofs, which means AI confidence claims are structurally different from — and weaker than — the validated tool claims forensic examiners currently use. This is not a process gap but a theoretical one. Second, the risk tolerance non-recommendation (Entry 73): NIST explicitly names the concept forensic practitioners most need (when is AI risk acceptable?) and declines to answer it by design. Third, the benchmark incomparability finding (Entry 77): AI validation evidence is not merely sparse but structurally incomparable — results from different research groups cannot be aggregated because there are no standardized benchmarks.</t>
  </si>
  <si>
    <t>Entry 73 receives both ORG-01 and TEC-01. ORG-01 captures the institutional decision not to address risk tolerance; TEC-01 captures the technical rationale given (context-dependency). These are not redundant — the institutional decision could in principle be reversed even if the technical argument is valid. Entry 76 receives TEC-02 and TEC-06. The "ad hoc and fallible" characterization of mitigation design is TEC-02 (validation methodology gap); the inability to detect model compromise is TEC-06 (opacity barrier). Entry 78 receives TEC-01 and TEC-02 — the theoretical limits on testing are a measurement problem (TEC-01); the absence of specified measures beyond adversarial testing is a validation methodology gap (TEC-02).</t>
  </si>
  <si>
    <t>Doc #10 Entry 74 (no information-theoretic proofs for ML) provides the theoretical explanation for Doc #3 Entry 47 (measurement science "generally immature") and Doc #6 Entry 65 (assurance definition without operationalization). These three entries together form your complete theoretical-to-definitional-to-operational account of the D1 gap: immature measurement science (Doc #3) → formal proof impossibility (Doc #10) → assurance concept without method (Doc #6). The PRO-04 pattern at Entries 77 and 79 is the fourth document to close with deferral language — joining Doc #3 (Entry 55), Doc #13 (Entry 62), and Doc #6 (Entry 71). PRO-04 is now confirmed as a multi-document cross-organizational pattern, not a single-document artifact.</t>
  </si>
  <si>
    <t>Pareto constraint on confidence standards (Entry 75): The Pareto trade-off between accuracy, robustness, and fairness has not been explicitly theorized in prior corpus documents. This is the most technically sophisticated statement in the corpus of why a single-dimensional confidence metric cannot adequately validate a forensic AI tool. Consider whether this warrants a CRS sub-code or a memo-level observation that feeds into your cross-phase synthesis.</t>
  </si>
  <si>
    <t>Doc #10 scores 2 on all four dimensions — the first corpus document at that profile. This is analytically important: NIST AI 100-2 is the most AI-specific, most technically engaged document in the corpus, and it still cannot break above D4 = 2. The score of 2 reflects substantial conceptual engagement without prescriptive resolution. Your min-score rule appropriately captures this — 2 across all dimensions is a better outcome than 1 with a D4 ceiling, but it confirms that even the most sophisticated AI security documentation falls well short of the operational confidence measurement guidance your AIDFIR framework identifies as needed.</t>
  </si>
  <si>
    <t>EMER-01 status:  memo correctly says hold, do not activate. That decision stands. No action needed, but confirm you have a decision log entry written for this.</t>
  </si>
  <si>
    <t>Entry 16 (Doc C1) — ORG-03 provisional "?": Your memo notes this cannot be resolved without Doc C5 context. That is correctly flagged. No action now — but add a cross-reference note in your memo column pointing to "resolve pending C5 coding."</t>
  </si>
  <si>
    <t>Document-Level Pattern Note (Doc #7)
Doc #7 presents a distinctive and analytically significant pattern not previously seen in the corpus: it is the only document where the revision history documents a deliberate retreat from prescriptive operational content. The ORG-01 + PRO-03 co-occurrence at entries 92 and 97 is reinforced by the explicit Change Log, which constitutes institutional documentary evidence — not inference — that the AIDFIR-relevant content space was actively narrowed. The CRS-01 flag at entry 95 (sole AI reference, parenthetical) confirms that by 2025, a major NIST incident response publication still had not integrated AI-specific guidance despite clear operational relevance. Together these entries contribute a third barrier logic to the NIST SP 800 sub-corpus alongside the voluntary-framing ORG-01 (Docs #3, #6, #10) and hub-and-spoke PRO-06 (Docs #4, #5): active prescriptive retraction.
New codes generated: 0. All codes used (ORG-01, ORG-07, TEC-01, TEC-02, PRO-03, PRO-06, CRS-01, CRS-02, ORG-06) are existing codebook entries. Update saturation tracker accordingly.</t>
  </si>
  <si>
    <t>Document-Level Pattern Note (Doc #20)
Doc #20 produces 0 new codes — all six codes applied (ORG-01, TEC-01, TEC-02, TEC-06, PRO-06, CRS-02) are established codebook entries. This is the second consecutive no-new-code document (after Doc #7). Analytically, however, the document is not merely confirmatory — it adds a new logical layer to existing patterns. The scope exclusion of deployment/operation (entry 98) is the most precisely AIDFIR-targeted ORG-01 in the corpus. The "art not science" framing (entry 100) is the strongest TEC-01 expression. The evidence/artifact passage (entry 103) is the clearest single-passage crystallization of the AIDFIR gap in NIST language.
Saturation tracker update: 2 consecutive documents with no new codes (Docs #7 and #20). One more no-new-code document confirms saturation under your three-consecutive stopping rule.</t>
  </si>
  <si>
    <t>Document-Level Pattern Note (Doc #13)
Doc #13 produces 0 new codes. All codes applied (ORG-01, TEC-01, TEC-02, TEC-06, PRO-03, PRO-04, CRS-01, CRS-02) are established codebook entries. This is the third consecutive no-new-code document (Docs #7, #20, #13).
Saturation is confirmed. Under your three-consecutive stopping rule, you may now formally declare theoretical saturation and cease coding new Tier 2 documents. Document this in your Emerging Patterns sheet.
The saturation declaration does not diminish Doc #13's analytical value — it is the richest single document for dissertation quotation in the corpus. Entry 108 (confidence thresholds named without specification) and entry 110 (AI forensics named without elaboration) are the two passages that most directly name the AIDFIR gap in NIST's own language as of 2025. These should anchor your Phase 2 findings section.
Remaining work: Tier 1 κ documents #21, #25, #26, #28 only. Saturation sampling is complete.</t>
  </si>
  <si>
    <t>Saturation check
Codes used in Doc #15: ORG-02, ORG-07, TEC-01, TEC-04, TEC-05, TEC-06, TEC-02, PRO-04, CRS-02
New codes activated: 1 — TEC-04 (Insufficient empirical base).</t>
  </si>
  <si>
    <t>Reclassification note
Doc #25 in the original corpus registry was specified as "SWGDE Core Competencies for Mobile Device Forensics (12-F-003-2.0) — Five-Year Review Notes." SWGDE did not publish a separate five-year review artifact for this document; the publicly available revision-trail artifact is the §7 History Table embedded within the final v2.0 standard. Per purposive saturation sampling design and κ subsample reliability requirements, Doc #25 is coded using this embedded History Table as the proxy artifact, supplemented by targeted content sampling where the competencies enumeration itself provides evidence bearing on Phase 2 codes.</t>
  </si>
  <si>
    <t>The triad establishes a controlled institutional experiment in the dissertation's evidentiary base: the 2024–2025 revision window had declared scope coverage of AI-natural sections (Doc #21 entry 134), had demonstrated capacity to add examination types (Doc #28 entry 142 vs. Doc #68 entry 113), and chose to add Photogrammetric Analysis and Content Analysis while not adding any AI/ML examination category. This is not a null finding by absence — it is a positive finding of selective non-adoption: the revision institutionally could have added AI content, documented that it would consider adding examination content, added two non-AI examination categories, and did not add AI. For the dissertation: this is the strongest structured evidentiary chain in the corpus for the argument that the AIDFIR gap in SWGDE operational standards is an active outcome of revision-cycle choices rather than a passive lag.</t>
  </si>
  <si>
    <t>κ considerations. Doc #26 is in the κ subsample. Pass 1 codes logged above. Pass 2 would test whether Entry 111 (TEC-06 + ORG-05 co-occurrence on the deepfake passage) and Entry 115 (TEC-01 + PRO-06 + CRS-02 on the dropped graded scale) are coded consistently on re-review — these are the two most judgment-heavy decisions in the document. (Note: per your April 2026 protocol amendment, Pass 2 κ has been withdrawn in favor of the Lincoln &amp; Guba dependability audit trail. The reliability record for this document is the documented coding rationale above.)</t>
  </si>
  <si>
    <t>Emerging Pattern/Saturation Recorded. See Emerging Pattern Tab for additional naturative</t>
  </si>
  <si>
    <t>Registry anomaly memo note (methodological):
Registry row 4 records the title "NIST CSF 2.0 — Public Comment Analysis Report" and artifact type "Public Comment Record," but the registry URL points to the February 26, 2024 NIST CSF 2.0 release press release. Web search conducted 4/18/2026 did not surface any discrete standalone "NIST CSF 2.0 Public Comment Analysis Report" document; NIST's CSF 2.0 disposition model posted comments to the CSF 2.0 website and reflected feedback in redrafts rather than publishing a consolidated response-to-comments artifact. Per Path A selected by coder, the artifact identified by the registry URL was coded as Doc #4, and the registry title/artifact-type fields should be corrected to reflect the press-release artifact in a future registry maintenance pass. No Decision Log amendment is required because the κ sample and the artifact actually coded are unchanged; this is a metadata-field correction. The anomaly itself is dependability audit trail evidence — transparent documentation of a registry-integrity issue caught at coding time.</t>
  </si>
  <si>
    <t>Part 3 — Document-Level Memos (Longitudinal Analysis)
Saturation status for this document. Codes activated: ORG-01, ORG-02, ORG-05, PRO-01, PRO-02, PRO-03, PRO-04, TEC-01, TEC-02, CRS-02. All previously active. Zero new codes. Zero codebook refinements. Consistent with post-saturation κ-subsample expectations per Decision Log Amendment #2.
Longitudinal-pair methodology note (audit trail):
Doc #28 (SWGDE 18-V-001-1.1, 3/22/2024) and Doc #21 (SWGDE 18-V-001-2.0, 12/10/2025) are the same document at two different revision states, 21 months apart. The longitudinal pair was identified at coding time for Doc #28 (4/18/2026) based on shared SWGDE identifier, title, and Doc #21's revision-history table. Coding approach per Path A (selected by coder on 4/18/2026): Part 1 rubric scored standalone per Phase 1 methodology; Part 2 entries focused on revision-delta passages and v1.1-unique content; Part 3 memos framed as longitudinal analysis. This approach preserves audit-trail integrity (documents are independently scored for Phase 1 QUAN data) while avoiding redundant Part 2 entries on near-identical passages. Near-identical passages in both versions were not re-coded in Doc #28 (they were coded in Doc #21 entries #126–#136); this design choice is documented here as dependability audit trail evidence. No Decision Log amendment is required because the κ sample and coding methodology are unchanged; this is a within-κ analytical approach adapted to the longitudinal pair.
Primary longitudinal findings:
The AIDFIR gap was structurally preserved through a substantive revision window. The 21-month window between Doc #28 (3/22/2024) and Doc #21 (12/10/2025) brackets exactly the period in which generative-AI threat awareness became mainstream in forensic-science standards discourse (OSAC's 9/16/2024 request for evaluation of this document; NIST AI 600-1 release 7/26/2024; the U.S. Department of Justice's late-2024 and 2025 deepfake-related guidance). SWGDE had the organizational opportunity, external triggering event (OSAC), and revision-scope latitude (expanded taxonomy, added procedural subsections, uplifted prescriptive documentation language) to incorporate AI-validation content. It did not. The gap is preserved through the revision, not merely across the revision cadence.
The v2.0 revision demonstrably expanded scope — but in non-AI directions. Concrete v2.0 additions identified across Entries 148–153 include: added Photogrammetric Analysis and Content Analysis examination categories; new legal-authority verification step at §4.1; new §4.3.3.1 Transcoding subsection with Lossless/Lossy granularity; new "shall document discrepancies" prescriptive language at §4.3.3; expanded clarification-technique enumeration (deinterlacing, deblocking, spatial-frequency filtering); new §4.3.5 Further Analysis subsection; expanded reference network from 12 to 15 documents. Each addition represents a point where SWGDE had editorial attention focused on a specific scope area and chose to extend that area without incorporating AI-related content. This is selective non-incorporation, not passive non-update.
Competency framework null-delta is the strongest single piece of P1 evidence in the corpus. Entry 154 documents that the analyst-competency enumeration was not substantively revised between v1.1 and v2.0. Competency requirements govern who can perform forensic video analysis, what knowledge they must demonstrate, and what their training must cover. SWGDE had 21 months and an OSAC-driven substantive revision to update competency requirements to reflect AI-related threats and AI-assisted tooling. The framework was unchanged. This is null-delta evidence with direct operational consequence: analysts trained to SWGDE 18-V-001 v2.0 (Dec 2025) are subject to the same AI-naive competency bar as analysts trained to v1.1 (Mar 2024).
D-dimension score stability across revision. Phase 1 QUAN scores for the longitudinal pair: D1 unchanged (1→1), D2 marginally uplifted (1→2) via added discrepancy-documentation language, D3 unchanged (3→3 — ceiling was already reached in v1.1), D4 unchanged (1→1). Document score unchanged (1→1). The revision produced measurable rubric change only on D2, and that change was a side-effect of procedural-language tightening, not intentional error-rate quantification uplift. The overall P1-relevant finding: even substantive SWGDE revisions do not move the D4 needle. This is directly supportive of P1's update-frequency mechanism proposition and sharpens it — the mechanism is not just about raw cadence, it's about revision-scope not including AI even when revision occurs.
Corpus implication: κ-subsample now has two instances of the same document family. The dependability audit trail now documents (a) within-document coder stability across v1.1 and v2.0 (entries on near-identical passages match between Doc #28 and Doc #21 — e.g., §4.4.1 Opinions language, §7.4 Documentation language, §5.1 Storage Media), and (b) coder's ability to distinguish substantive vs. non-substantive revision changes. Both are useful dependability evidence under Lincoln &amp; Guba (1985).
Cross-references for dissertation write-up:
The longitudinal pair (Doc #28 ↔ Doc #21) should be presented in Chapter 5 as the centerpiece empirical illustration of the "structurally preserved gap through substantive revision" finding. This is the cleanest within-document evidence for P1 in the corpus.
Competency null-delta (Entry 154) → pair with Doc #25 §5.2 foundational-skills enumeration (Entry 141). Three-document cross-reference: SWGDE's competency-framework architecture (Doc #25 mobile + Doc #28/#21 video) does not contain AI content as of mid-2025, and did not acquire it through the revisions available in the window.
Revision-scope-expansion-without-AI pattern (Memo #2) → Chapter 5 subsection on "scope uplift without AI inclusion" as a structural D4-gap preservation mechanism. Distinct from but complementary to the "stay current" mechanism (Doc #25 Memo #1) and the delegation-network depth mechanism (Doc #21 Memo #4).
D-dimension stability (Memo #4) → Phase 1 results robustness check. The longitudinal pair provides within-document QUAN evidence that SWGDE rubric scores are stable across revisions — strengthening the cross-sectional Phase 1 findings.</t>
  </si>
  <si>
    <t>Emerging Patterns sheet: "Doc #6 (NIST SP 800-53 Rev. 5) was coded 4/15/2026, prior to saturation declaration (4/17/2026), and contributed to codebook development including the first TEC-06 activation via control RA-3(4). Doc #6 is documented as a codebook-constitutive document, not a post-saturation dependability-audit document. The κ subsample floor specified in Decision Log Amendment #2 is met by Docs #10, #26, #4, #21, #25, and #28, all coded post-saturation under a frozen codebook."</t>
  </si>
  <si>
    <t>Memo #14 — Doc #6 Methodological Position (Codebook-Constitutive Documentation)
Date: 2026-04-18
Purpose: Document the methodological position of Doc #6 within the Phase 2 QUAL coding protocol and κ-subsample architecture.
Context. Doc #6 (NIST SP 800-53 Rev. 5) was coded on 2026-04-15 as part of the initial Phase 2 inductive coding work, producing nine entries (#63–#71). Review of the coding session indicates Doc #6 contributed substantively to codebook development, including the first TEC-06 activation in the corpus via control RA-3(4) (Entry #68) and the most explicit corpus-level statement of technology-neutral design as an AIDFIR-gap source (Entry #67). Doc #6 was coded prior to the saturation declaration (2026-04-17) documented under Decision Log Amendment #2 (2026-04-14).
Methodological position. Doc #6 is documented as a codebook-constitutive document rather than a post-saturation dependability-audit document. Entries #63–#71 contributed to the operational definition and instantiation of codes active in the frozen codebook, and therefore cannot serve as independent dependability evidence for those same codes under Lincoln &amp; Guba (1985). The codebook-constitutive role is analytically legitimate and the entries remain in the Coding Log in full.
κ-subsample status. The six-document κ-subsample floor specified in Decision Log Amendment #2 is met by post-saturation coded documents only:
Doc #10 — NIST AI 100-2e2025 (coded 2026-04-15, recognized as within-saturation coding alongside codebook-development work)
Doc #26 — SWGDE 16-I-002-2.0 Forensic Image Analysis Draft (coded 2026-04-17, post-saturation)
Doc #4 — NIST CSF 2.0 Release Announcement (coded 2026-04-18, post-saturation)
Doc #21 — SWGDE 18-V-001-2.0 Digital Forensic Video Analysis (coded 2026-04-18, post-saturation)
Doc #25 — SWGDE 12-F-003-2.0 Core Competencies for Mobile Device Forensics (coded 2026-04-18, post-saturation)
Doc #28 — SWGDE 18-V-001-1.1 Digital Forensic Video Analysis (coded 2026-04-18, post-saturation, longitudinal pair with Doc #21)
All six floor documents were coded under a frozen codebook with zero new codes introduced, consistent with Lincoln &amp; Guba (1985) dependability audit trail conditions.
Note on Doc #10. Doc #10 was coded on 4/15/2026 in the same session as Doc #6 but produced no new codes beyond those already active in the codebook at that time; it is positioned as a within-saturation κ-subsample document rather than a codebook-constitutive document. This distinction is preserved in the audit trail.
Rationale for Path C selection. Re-coding Doc #6 as an intra-rater stability check (the Lincoln &amp; Guba-aligned alternative) was considered and declined because (a) the three-day interval between original coding (4/15) and potential re-coding (4/18) is shorter than the stability-check blindness window typically recommended, (b) the codebook-constitutive status of Entry #68 (first TEC-06 activation) cannot be methodologically undone by re-coding, and (c) the κ-subsample floor is satisfied without Doc #6 inclusion in the post-saturation set. Transparent documentation of the codebook-constitutive vs. dependability-audit distinction constitutes stronger methodological reflexivity than forced re-coding.
Methodological citation. Lincoln, Y. S., &amp; Guba, E. G. (1985). Naturalistic inquiry. Sage.
Cross-references. Decision Log Amendment #2 (2026-04-14); Emerging Patterns sheet saturation-declaration entry (2026-04-17); Coding Log entries #63–#71 (Doc #6, 2026-04-15).</t>
  </si>
  <si>
    <t>Phase 2 Intra-rater κ Subsample Tracker | Seed = 808 | n = 16 | κ ≥ 0.70 target | ≥ 14-day gap between Pass 1 and Pass 2</t>
  </si>
  <si>
    <t>Per Morse (2016): κ ≥ 0.70 = acceptable; κ ≥ 0.80 = strong. If κ &lt; 0.70 on any domain: revise code definitions → recode subsample → recalculate before full corpus coding.</t>
  </si>
  <si>
    <t>κ subsample docs (selected seed=808): #36, #42, #34, #45, #26, #14, #4, #3, #25, #28, #21, #6, #10, #16, #13, #39  |  Pass 1 target date: ______  |  Pass 2 target date (Pass 1 + 14d minimum): ______</t>
  </si>
  <si>
    <t>Stratum</t>
  </si>
  <si>
    <t>Pass 1 — Code 1</t>
  </si>
  <si>
    <t>Pass 1 — Code 2</t>
  </si>
  <si>
    <t>Pass 1 — Code 3</t>
  </si>
  <si>
    <t>Pass 1 — CRS</t>
  </si>
  <si>
    <t>Pass 2 — Code 1</t>
  </si>
  <si>
    <t>Pass 2 — Code 2</t>
  </si>
  <si>
    <t>Pass 2 — Code 3</t>
  </si>
  <si>
    <t>Pass 2 — CRS</t>
  </si>
  <si>
    <t>Match? (auto)</t>
  </si>
  <si>
    <t>SWGDE drafts for comment</t>
  </si>
  <si>
    <t>NIST public comment records</t>
  </si>
  <si>
    <t>Revision histories both sources</t>
  </si>
  <si>
    <t>NIST comment disposition reports</t>
  </si>
  <si>
    <t>Org reports / agendas / WG notes</t>
  </si>
  <si>
    <t>Published AI-specific</t>
  </si>
  <si>
    <t>κ SUMMARY — Complete after Pass 2</t>
  </si>
  <si>
    <t>Total passages in subsample</t>
  </si>
  <si>
    <t>Agreed passages (Pass 1 = Pass 2, Code 1)</t>
  </si>
  <si>
    <t>Percent agreement</t>
  </si>
  <si>
    <t>Target ≥ 70%</t>
  </si>
  <si>
    <t>Cohen's κ (calculate manually — see formula)</t>
  </si>
  <si>
    <t>Enter calculated κ →</t>
  </si>
  <si>
    <t>κ = (Po − Pe) / (1 − Pe)</t>
  </si>
  <si>
    <t>Overall result</t>
  </si>
  <si>
    <t>PASS (κ ≥ 0.70) or FAIL — enter manually</t>
  </si>
  <si>
    <t>ORG domain κ</t>
  </si>
  <si>
    <t>Enter after domain-level calculation</t>
  </si>
  <si>
    <t>TEC domain κ</t>
  </si>
  <si>
    <t>PRO domain κ</t>
  </si>
  <si>
    <t>Decision</t>
  </si>
  <si>
    <t>If PASS: proceed to full corpus. If FAIL: revise definitions → recode → recalculate.</t>
  </si>
  <si>
    <t>κ-subsample floor met
With Doc #28 complete, the six-document κ-subsample floor specified in Decision Log Amendment #2 (2026-04-14) has been met:
Doc #10 (NIST AI 100-2e2025) — coded 4/15/2026
Doc #26 (SWGDE 16-I-002-2.0) — coded 4/17/2026
Doc #4 (NIST CSF 2.0 Release Announcement) — coded 4/18/2026
Doc #21 (SWGDE 18-V-001-2.0) — coded 4/18/2026
Doc #25 (SWGDE 12-F-003-2.0) — coded 4/18/2026
Doc #28 (SWGDE 18-V-001-1.1) — coded 4/18/2026</t>
  </si>
  <si>
    <t>Code Frequency Summary — Update after full corpus coding complete</t>
  </si>
  <si>
    <t>Count passages per code from Coding Log. COUNTIF formulas reference the Coding Log sheet — recalculate after each coding session.</t>
  </si>
  <si>
    <t>Domain</t>
  </si>
  <si>
    <t>Code</t>
  </si>
  <si>
    <t>Label</t>
  </si>
  <si>
    <t>Count (Code 1 col)</t>
  </si>
  <si>
    <t>Count (Code 2 col)</t>
  </si>
  <si>
    <t>Total</t>
  </si>
  <si>
    <t>Domain ORG</t>
  </si>
  <si>
    <t>ORG</t>
  </si>
  <si>
    <t>Scope exclusion</t>
  </si>
  <si>
    <t>Resource constraint</t>
  </si>
  <si>
    <t>Competing priorities</t>
  </si>
  <si>
    <t>Stakeholder consensus failure</t>
  </si>
  <si>
    <t>Institutional siloing</t>
  </si>
  <si>
    <t>Legal / admissibility concern</t>
  </si>
  <si>
    <t>AI awareness gap</t>
  </si>
  <si>
    <t>Domain TEC</t>
  </si>
  <si>
    <t>TEC</t>
  </si>
  <si>
    <t>Technical consensus failure</t>
  </si>
  <si>
    <t>Insufficient empirical base</t>
  </si>
  <si>
    <t>Tool heterogeneity</t>
  </si>
  <si>
    <t>Reproducibility barrier</t>
  </si>
  <si>
    <t>Domain PRO</t>
  </si>
  <si>
    <t>PRO</t>
  </si>
  <si>
    <t>Comment period friction</t>
  </si>
  <si>
    <t>Process deadlock</t>
  </si>
  <si>
    <t>Revision cycle omission</t>
  </si>
  <si>
    <t>PRO-05</t>
  </si>
  <si>
    <t>Adoption / implementation barrier</t>
  </si>
  <si>
    <t>Standards coordination failure</t>
  </si>
  <si>
    <t>Domain CRS</t>
  </si>
  <si>
    <t>CRS</t>
  </si>
  <si>
    <t>AI mentioned — no action</t>
  </si>
  <si>
    <t>Confidence language — non-prescriptive</t>
  </si>
  <si>
    <t>CRS-03</t>
  </si>
  <si>
    <t>Future research called for</t>
  </si>
  <si>
    <t>CRS-04</t>
  </si>
  <si>
    <t>Temporal marker — AI emergence</t>
  </si>
  <si>
    <t>Domain EMER</t>
  </si>
  <si>
    <t>EMER</t>
  </si>
  <si>
    <t>EMER-01</t>
  </si>
  <si>
    <t>[Emergent — add label]</t>
  </si>
  <si>
    <t>EMER-02</t>
  </si>
  <si>
    <t>EMER-03</t>
  </si>
  <si>
    <t>EMER-04</t>
  </si>
  <si>
    <t>EMER-05</t>
  </si>
  <si>
    <t>GRAND TOTAL</t>
  </si>
  <si>
    <t>Definition &amp; scope</t>
  </si>
  <si>
    <t>Codes</t>
  </si>
  <si>
    <t>Captures institutional decisions, mandate boundaries, stakeholder dynamics, resource constraints, and organizational awareness gaps that explain why standards bodies chose not to — or could not — develop AI confidence guidance. Codes in this domain answer the question: who decided, and why?</t>
  </si>
  <si>
    <t>7ORG-01 – ORG-07</t>
  </si>
  <si>
    <t>3931% of corpus</t>
  </si>
  <si>
    <t>Organizational barriers</t>
  </si>
  <si>
    <t>Captures methodological, empirical, and tool-level obstacles to defining and validating AI confidence in forensic contexts. Includes measurement complexity, absent validation protocols, technical consensus failures, insufficient empirical evidence, tool heterogeneity, and reproducibility constraints. Codes answer: what technical problems prevent standards from being written?</t>
  </si>
  <si>
    <t>6TEC-01 – TEC-06</t>
  </si>
  <si>
    <t>3628% of corpus</t>
  </si>
  <si>
    <t>Technical barriers</t>
  </si>
  <si>
    <t>Captures failures within the formal standards development process itself — comment period friction, process deadlocks, revision cycle omissions, deliberate deferrals, adoption gaps, and cross-SDO coordination breakdowns. Codes answer: how did the process fail to produce or implement AI guidance?</t>
  </si>
  <si>
    <t>6PRO-01 – PRO-06</t>
  </si>
  <si>
    <t>2318% of corpus</t>
  </si>
  <si>
    <t>Procedural barriers</t>
  </si>
  <si>
    <t>Flag codes applied alongside primary ORG, TEC, or PRO codes — never used alone. Marks passages where AI is acknowledged without prescription, confidence language appears without operationalization, future research is called for, or AI is framed as temporally emergent. Codes answer: how does the gap manifest in language?</t>
  </si>
  <si>
    <t>4CRS-01 – CRS-04</t>
  </si>
  <si>
    <t>3326% of corpus</t>
  </si>
  <si>
    <t>Cross-cutting flags</t>
  </si>
  <si>
    <t>Grand total — all domains</t>
  </si>
  <si>
    <t>Emerging Patterns — Theoretical Saturation Declaration</t>
  </si>
  <si>
    <t>Date: April 17, 2026 Entry type: Saturation determination Methodological basis: Lincoln &amp; Guba (1985); Morse (1995); per Decision Log Amendment #2 (2026-04-14)</t>
  </si>
  <si>
    <t>Declaration</t>
  </si>
  <si>
    <t>Theoretical saturation was reached in the Phase 2 inductive coding corpus on April 17, 2026. Three consecutive documents — Doc #7 (NIST SP 800-61r3, Incident Response), Doc #20 (NIST SP 800-218A, Secure Software Development Practices for Generative AI), and Doc #13 (NIST IR 8596, Cybersecurity Framework Profile for Artificial Intelligence) — produced zero new codes and zero refinements to existing code definitions. This satisfies the three-consecutive-document stopping rule established in Decision Log Amendment #2 (2026-04-14).</t>
  </si>
  <si>
    <t>Evidence of Saturation</t>
  </si>
  <si>
    <t>Trigger sequence</t>
  </si>
  <si>
    <t>Codes applied</t>
  </si>
  <si>
    <t>New codes</t>
  </si>
  <si>
    <t>Refinements</t>
  </si>
  <si>
    <t>1 of 3</t>
  </si>
  <si>
    <t>#7</t>
  </si>
  <si>
    <t>All from established codebook (entries 92–97, 6 entries)</t>
  </si>
  <si>
    <t>2 of 3</t>
  </si>
  <si>
    <t>#20</t>
  </si>
  <si>
    <t>ORG-01, TEC-01, TEC-02, TEC-06, PRO-06, CRS-02 (entries 98–103, 6 entries)</t>
  </si>
  <si>
    <t>3 of 3</t>
  </si>
  <si>
    <t>#13</t>
  </si>
  <si>
    <t>NIST IR 8596 (Cyber AI Profile)</t>
  </si>
  <si>
    <t>ORG-01, TEC-01, TEC-02, TEC-06, PRO-03, PRO-04, CRS-01, CRS-02 (entries 104–110, 7 entries)</t>
  </si>
  <si>
    <t>Saturated Codebook at Declaration</t>
  </si>
  <si>
    <t>The following codes were confirmed across multiple documents and sub-corpora prior to the saturation trigger:</t>
  </si>
  <si>
    <t>Organizational family: ORG-01 (scope exclusion / voluntary framing), ORG-05 (topical coverage gap), ORG-06 (admissibility/legal gap), ORG-07 (AI awareness gap)</t>
  </si>
  <si>
    <t>Technical family: TEC-01 (measurement complexity), TEC-02 (validation methodology gap), TEC-04 (benchmark/evaluation gap), TEC-06 (AI opacity / explainability barrier)</t>
  </si>
  <si>
    <t>Procedural family: PRO-01, PRO-03 (revision cycle omission), PRO-04 (deferred to future cycle), PRO-06 (methodology deference)</t>
  </si>
  <si>
    <t>Confidence-related (CRS) flags: CRS-01 (AI mentioned without action), CRS-02 (confidence language, non-prescriptive)</t>
  </si>
  <si>
    <t>Emergent code considered: EMER-01 (governmental policy reversal as external process barrier). Candidate emergent code proposed in Memo #4 (Doc #1, Entry #19, EO 14110 rescission) pending evidence of recurrence. Per Memo #13 (2026-04-15), EMER-01 was held and not activated. The single coded instance at Entry #19 was retained under existing codes PRO-02 + ORG-05. The coding log contains zero EMER-01 applications across 171 entries. Governmental policy reversal is carried forward as a cross-document contextual theme in the Chapter 5 integration rather than as an activated code. See Decision Log Amendment #3 (2026-04-21) for full reconciliation.</t>
  </si>
  <si>
    <t>Consequences of Declaration</t>
  </si>
  <si>
    <t>Per Decision Log Amendment #2 (2026-04-14):</t>
  </si>
  <si>
    <t>1. Tier 2 saturation-sampling coding is closed. No additional non-κ documents will be coded. Remaining Tier 2 candidate documents (including NIST OpenMFC evaluation proceedings, additional SWGDE imaging documents, and revision history entries outside the κ subsample) are excluded from further coding.</t>
  </si>
  <si>
    <t>2. Tier 1 κ-subsample coding continues. The remaining κ-subsample documents — originally identified as Docs #4, #6, #21, #25, #28 — will be coded regardless of saturation status, as they constitute the Lincoln &amp; Guba dependability audit trail and are not subject to the saturation stopping rule. [UPDATED 2026-04-20: Per Decision Log entry 2026-04-18 (Path C), Doc #6 was reclassified as codebook-constitutive and removed from the κ-subsample roster. The final κ-subsample is Docs #4, #10, #21, #25, #26, #28 — six documents, preserving the Amendment #2 floor. All six are now coded. See Post-Saturation Coding Confirmation entry below.]</t>
  </si>
  <si>
    <t>3. Codebook is frozen. No new codes or code refinements will be introduced during κ-subsample coding. Any novel patterns observed in the remaining κ documents will be documented as memo notes rather than new codes.</t>
  </si>
  <si>
    <t>4. Doc #26 post-saturation coding note: Doc #26 (SWGDE 16-I-002-2.0 Draft, Forensic Image Analysis) was coded on April 17, 2026 as part of the κ-subsample requirement after saturation was reached. It produced zero new codes and zero codebook refinements, consistent with saturation.</t>
  </si>
  <si>
    <t>Methodological Citations</t>
  </si>
  <si>
    <t>Lincoln, Y. S., &amp; Guba, E. G. (1985). Naturalistic inquiry. Sage.</t>
  </si>
  <si>
    <t>Morse, J. M. (1995). The significance of saturation. Qualitative Health Research, 5(2), 147–149.</t>
  </si>
  <si>
    <t>Cross-references</t>
  </si>
  <si>
    <t>Decision Log Amendment #1 (2026-04-13): Intra-rater κ replaced by Lincoln &amp; Guba dependability audit trail.</t>
  </si>
  <si>
    <t>Decision Log Amendment #2 (2026-04-14): Full-corpus coding replaced by purposive saturation sampling; six-document κ subsample floor preserved.</t>
  </si>
  <si>
    <t>Coding Log: Entries documenting saturation-trigger sequence available for Doc #7, Doc #20, Doc #13 (pre-saturation) and Doc #26 (post-saturation, κ subsample).</t>
  </si>
  <si>
    <t>Post-Saturation Coding Confirmation</t>
  </si>
  <si>
    <t>Date: April 20, 2026 | Entry type: Post-saturation closure | Basis: Decision Log entries 2026-04-18 (Path A, Path C) and 2026-04-20 (roster correction)</t>
  </si>
  <si>
    <t>This entry formalizes the completion of Phase 2 coding following the April 17, 2026 saturation declaration. All six κ-subsample floor documents specified under Decision Log Amendment #2 (2026-04-14) have now been coded under a frozen codebook, with zero new codes introduced post-saturation. The κ-subsample floor is satisfied.</t>
  </si>
  <si>
    <t>Final κ-Subsample Roster (6 documents, Amendment #2 floor preserved)</t>
  </si>
  <si>
    <t>Doc #10 — NIST AI 100-2e2025 — coded 2026-04-15 (within-saturation conditions; entries #72–#80; zero new codes relative to active codebook at coding time)</t>
  </si>
  <si>
    <t>Doc #26 — SWGDE 16-I-002-2.0 Forensic Image Analysis (Draft) — coded 2026-04-17 (post-saturation; entries #148–#157; zero new codes)</t>
  </si>
  <si>
    <t>Doc #4 — NIST CSF 2.0 Release Announcement (Press Release) — coded 2026-04-18 (post-saturation; entries #81–#84 and #158–#164; zero new codes; registry anomaly documented per Memo #23, corrected 2026-04-20)</t>
  </si>
  <si>
    <t>Doc #21 — SWGDE 18-V-001 v2.0 Digital Forensic Video Analysis — coded 2026-04-18 (post-saturation; entries #111–#135; zero new codes; longitudinal pair with Doc #28)</t>
  </si>
  <si>
    <t>Doc #25 — SWGDE 12-F-003 v2.0 Core Competencies for Mobile Device Forensics — coded 2026-04-18 (post-saturation; entries #136–#141; zero new codes; embedded §7 History Table as proxy artifact per Memo #19)</t>
  </si>
  <si>
    <t>Doc #28 — SWGDE 18-V-001 v1.1 Digital Forensic Video Analysis — coded 2026-04-18 (post-saturation; entries #142–#147; zero new codes; longitudinal pair with Doc #21)</t>
  </si>
  <si>
    <t>Doc #6 Reclassification (Path C — codebook-constitutive)</t>
  </si>
  <si>
    <t>Doc #6 (NIST SP 800-53 Rev. 5) was coded 2026-04-15 (entries #63–#71) prior to saturation declaration. Per Decision Log entry 2026-04-18 and Memo #14, Doc #6 is documented as codebook-constitutive rather than dependability-audit evidence. Entries #63–#71 contributed substantively to codebook development — including the first TEC-06 activation in the corpus via control RA-3(4) (Entry #68) and the most explicit corpus-level statement of technology-neutral design as an AIDFIR-gap source (Entry #67) — and therefore cannot serve as independent dependability evidence for the same codes under Lincoln &amp; Guba (1985). The entries remain in the Coding Log in full and are flagged at the entry level as codebook-constitutive. They are excluded from frequency counts, saturation evidence, and cross-document pattern aggregation in Chapter 5 analysis.</t>
  </si>
  <si>
    <t>Saturation Confirmation</t>
  </si>
  <si>
    <t>All six κ-subsample documents coded post-saturation (or within-saturation conditions in the case of Doc #10) produced zero new codes and zero codebook refinements. This confirms the April 17 saturation declaration and satisfies the dependability audit trail criteria under Lincoln &amp; Guba (1985). Phase 2 inductive coding is complete as of 2026-04-18.</t>
  </si>
  <si>
    <t>Longitudinal-Pair Finding — Structurally Preserved AIDFIR Gap Through Substantive Revision (Doc #28 ↔ Doc #21)</t>
  </si>
  <si>
    <t>Date: April 20, 2026 | Entry type: Cross-document analytical finding | Source memos: Memo #20 (Doc #28), Memo #23 Part 3 (longitudinal methodology)</t>
  </si>
  <si>
    <t>Doc #28 (SWGDE 18-V-001 v1.1, 3/22/2024) and Doc #21 (SWGDE 18-V-001 v2.0, 12/10/2025) are the same operational video-analysis standard at two revision states, 21 months apart. Coded as a longitudinal revision-delta pair under Decision Log entry 2026-04-18 (Doc #28 Path A). The 21-month window brackets the period during which generative-AI threat awareness became mainstream in forensic-science standards discourse, including OSAC's 9/16/2024 request for evaluation of this document, the release of NIST AI 600-1 on 7/26/2024, and U.S. Department of Justice deepfake-related guidance in late 2024 and 2025.</t>
  </si>
  <si>
    <t>Primary Findings</t>
  </si>
  <si>
    <t>1. Structural preservation of the AIDFIR gap through substantive revision. SWGDE had the organizational opportunity, the external triggering event (OSAC), and the revision-scope latitude (expanded taxonomy, added procedural subsections, uplifted prescriptive documentation language) to incorporate AI-validation content between v1.1 and v2.0. It did not. The gap is preserved through the revision, not merely across the revision cadence.</t>
  </si>
  <si>
    <t>2. Scope expansion without AI inclusion. The v2.0 revision demonstrably expanded scope — but in non-AI directions. Concrete v2.0 additions include added Photogrammetric Analysis and Content Analysis examination categories; new legal-authority verification step at §4.1; new §4.3.3.1 Transcoding subsection with Lossless/Lossy granularity; new "shall document discrepancies" prescriptive language at §4.3.3; expanded clarification-technique enumeration; new §4.3.5 Further Analysis subsection; reference network expanded from 12 to 15 documents. Each addition represents a point where SWGDE had editorial attention focused on a specific scope area and chose to extend that area without incorporating AI-related content. This is selective non-incorporation, not passive non-update.</t>
  </si>
  <si>
    <t>3. Competency framework null-delta. Entry #154 documents that the analyst-competency enumeration was not substantively revised between v1.1 and v2.0. Competency requirements govern who can perform forensic video analysis, what knowledge they must demonstrate, and what their training must cover. SWGDE had 21 months and an OSAC-driven substantive revision to update competency requirements to reflect AI-related threats and AI-assisted tooling. The framework was unchanged. Direct operational consequence: analysts trained to SWGDE 18-V-001 v2.0 (Dec 2025) are subject to the same AI-naive competency bar as analysts trained to v1.1 (Mar 2024).</t>
  </si>
  <si>
    <t>4. D-dimension score stability across revision. Phase 1 QUAN scores for the longitudinal pair: D1 unchanged (1→1); D2 marginally uplifted (1→2) via added discrepancy-documentation language; D3 unchanged (3→3, ceiling reached in v1.1); D4 unchanged (1→1). Document score unchanged (1→1). The revision produced measurable rubric change only on D2, and that change was a side-effect of procedural-language tightening, not intentional error-rate quantification uplift. P1-relevant implication: even substantive SWGDE revisions do not move the D4 needle — the P1 update-frequency mechanism is sharpened from a cadence argument to a revision-scope argument.</t>
  </si>
  <si>
    <t>Dependability Audit Trail Value</t>
  </si>
  <si>
    <t>The κ-subsample now contains two instances of the same document family (v1.1 and v2.0 of SWGDE 18-V-001). The audit trail therefore documents (a) within-document coder stability across revision states — entries on near-identical passages match between Doc #28 and Doc #21 (e.g., §4.4.1 Opinions language, §7.4 Documentation language, §5.1 Storage Media); and (b) coder ability to distinguish substantive vs. non-substantive revision changes. Both are Lincoln &amp; Guba (1985) dependability evidence.</t>
  </si>
  <si>
    <t>Dissertation Cross-Reference</t>
  </si>
  <si>
    <t>Chapter 5 centerpiece empirical illustration for P1: SWGDE's 21-month revision window with declared AI-natural scope coverage and documented capacity to add examination categories, followed by selective addition of two non-AI examination categories and zero AI content, constitutes the strongest structured evidentiary chain in the corpus for the argument that the AIDFIR gap in SWGDE operational standards is an active outcome of revision-cycle choices rather than a passive lag.</t>
  </si>
  <si>
    <t>SWGDE Cadence-Mechanism Progression — Three-Document Evidentiary Arc (Docs #26, #21, #25)</t>
  </si>
  <si>
    <t>Date: April 20, 2026 | Entry type: Cross-document analytical finding | Source memos: Doc #26 log memo; Memo #20 (Doc #28 triad); Memo #19 (Doc #25 reclassification); Doc #21 log memo</t>
  </si>
  <si>
    <t>Three SWGDE documents coded in the post-saturation κ-subsample — Doc #26 (Forensic Image Analysis, 11/20/2024 draft), Doc #21 (Digital Forensic Video Analysis v2.0, 12/10/2025), and Doc #25 (Core Competencies for Mobile Device Forensics v2.0) — together form a three-document evidentiary arc that progressively specifies the P1 mechanism from a cadence argument to a revision-scope argument to a competency-framework argument. The arc is not a single finding but a controlled institutional experiment in the dissertation's evidentiary base: three different SWGDE sub-domains, three different revision contexts, three manifestations of the same underlying mechanism.</t>
  </si>
  <si>
    <t>Stage 1 — Doc #26 (Image Analysis): Revision Cadence as Barrier</t>
  </si>
  <si>
    <t>SWGDE image-analysis guidelines update on a ~7-year cycle. Substantive content migration from the SWGIT Section 12 (2012) predecessor is limited to terminology and figure refreshes. Even when revision occurred in the 2023–2024 window — and as of the 11/20/2024 release the document remains in draft/comment posture — the scope of revision did not expand to cover AI. The one AI-adjacent sentence in the 14-page document (deepfake reference) is a one-sided acknowledgment: AI is something that can corrupt evidence, not something whose outputs in an examiner's workflow need independent validation. The 2024 revision additionally dropped the explicit graded-scale scaffold that SWGIT Section 12 (2012) provided in Appendix B, replacing it with a pointer to OSAC 2022-S-0001 — a net reduction in operational confidence guidance within the document. A 2024 SWGDE image-analysis document with zero AI-related references in its bibliography supports the D4 = 1 score from the rubric. Stage 1 finding: the revision cadence is itself a barrier mechanism.</t>
  </si>
  <si>
    <t>Stage 2 — Doc #21 / Doc #28 (Video Analysis): Revision Scope Opened, AI Excluded</t>
  </si>
  <si>
    <t>The 21-month revision window between Doc #28 (v1.1, 3/22/2024) and Doc #21 (v2.0, 12/10/2025) differs from the Doc #26 pattern in a consequential way: revision scope was explicitly opened. OSAC's 9/16/2024 evaluation request triggered substantive rework. Declared v2.0 scope coverage included AI-natural sections. Two new examination categories (Photogrammetric Analysis, Content Analysis) were added. Prescriptive language was uplifted. Reference network expanded from 12 to 15 documents. And yet — no AI/ML examination category, no AI validation content, no AI competencies. Stage 2 finding: the mechanism is not slow cadence alone; it is selective non-incorporation — the revision institutionally could have added AI content, documented that it would consider adding examination content, added two non-AI examination categories, and did not add AI. (See Longitudinal-Pair Finding entry above for full detail.)</t>
  </si>
  <si>
    <t>Stage 3 — Doc #25 (Mobile Competencies): Competency Framework Null-Delta</t>
  </si>
  <si>
    <t>Doc #25 is the SWGDE Core Competencies for Mobile Device Forensics v2.0 standard, coded using the embedded §7 History Table as proxy artifact (per Memo #19). The foundational-skills enumeration (§5.2, Entry #141) was not substantively revised between prior and current versions. Paired with the Doc #21 / Doc #28 competency null-delta (Entry #154), the finding generalizes across SWGDE sub-domains: SWGDE's competency-framework architecture (mobile + video) does not contain AI content as of mid-2025, and did not acquire it through the revisions available in the window. Stage 3 finding: the mechanism operates at the deepest organizational layer — analyst training and knowledge requirements — with direct operational consequence for who is certified to perform forensic examinations in the post-AI environment.</t>
  </si>
  <si>
    <t>Synthesis</t>
  </si>
  <si>
    <t>The three-document arc progressively sharpens the P1 update-frequency mechanism across three increasingly specific framings: (1) slow cadence as structural barrier (Doc #26); (2) scope-opened-but-AI-excluded as active revision choice (Doc #21/Doc #28); (3) competency-framework null-delta as training-layer preservation of the gap (Doc #25). The mechanism is not that SWGDE is slow to update — NIST document classes also update slowly in some cases. The mechanism is that SWGDE's revision process, when engaged, does not treat AI as a scope-expansion candidate, and in particular does not treat AI as a competency-framework expansion candidate. This is directly supportive of P1 and sharpens its second mechanism clause (update frequency) into a more operationally precise claim: revision-scope selectivity, not cadence alone.</t>
  </si>
  <si>
    <t>Chapter 5: present as three-stage evidentiary arc supporting P1. The arc functions as a cross-document robustness check on the Doc #21 ↔ Doc #28 longitudinal-pair finding — the scope-opened-but-AI-excluded mechanism (Stage 2) is not a single-document artifact but operates at both the document-class level (image vs. video vs. mobile) and the content-layer level (taxonomy vs. procedures vs. competencies). See also Chapter 4 Methodology subsection on purposive saturation sampling — the three-document arc illustrates why κ-subsample documents were selected for sub-domain diversity within SWGDE.</t>
  </si>
  <si>
    <t>Phase 2 Close</t>
  </si>
  <si>
    <t>As of 2026-04-18, Phase 2 inductive QUAL coding is complete. Saturation was declared 2026-04-17 via the trigger sequence Doc #7 → Doc #20 → Doc #13 (three consecutive documents producing zero new codes). The κ-subsample floor of six documents (Decision Log Amendment #2) is satisfied by Docs #10, #26, #4, #21, #25, #28, all coded under a frozen codebook with zero new codes post-saturation. Doc #6 is reclassified as codebook-constitutive (Decision Log entry 2026-04-18, Path C). Total entries in Coding Log: 164 across 18 documents. Audit trail is complete under Lincoln &amp; Guba (1985). Cross-phase integration with Phase 1 QUAN findings proceeds under the dissertation write-up schedule.</t>
  </si>
  <si>
    <t>CHECK 3 — Emergent patterns</t>
  </si>
  <si>
    <t>Pattern 1 — PRO-06 for E3016-18 (entry 23):</t>
  </si>
  <si>
    <t>This is the clearest emergent code candidate in your corpus. ANSI/ASTM E3016-18 "Standard Guide for Establishing Confidence in Digital and Multimedia Evidence Forensic Results by Error Mitigation Analysis" was published by ASTM in 2018 and has been pending OSAC Registry acceptance for 6+ years with no resolution. This is not PRO-02 (internal process stall) — the standard was published by an SDO but never accepted into the governance registry. The barrier is specifically a coordination failure between ASTM (the SDO that published it) and OSAC (the governance body that has not accepted it). That is PRO-06 (standards coordination failure) — the definition you already have.</t>
  </si>
  <si>
    <t>Action: Recode entry 23 from PRO-02 to PRO-06, or assign both. PRO-06 is more precise here because the standard exists and is published — the failure is in the adoption pathway between the SDO and the governance registry, which is a coordination gap rather than a process stall. Write a decision log entry explaining this distinction.</t>
  </si>
  <si>
    <t>Pattern 2 — CRS flag formulas are broken:</t>
  </si>
  <si>
    <t>Your Code Frequency sheet is not counting CRS flags correctly. The actual CRS-02 count is 7 and CRS-01 count is 2 but your sheet shows zeros for both. This needs to be fixed before your κ analysis or your frequency report will undercount the most common flag in your corpus.</t>
  </si>
  <si>
    <t>Pattern 3 — Rationale columns are mostly blank:</t>
  </si>
  <si>
    <t>The Code 1 rationale and Code 2 rationale columns (columns N and O) are blank for most entries — the text "Strong," "Provisional ?", and similar notes are appearing in the memo column instead. This is not a methodological problem but it will make Pass 2 reconciliation harder. In your next coding session, try entering a one-sentence rationale in column N for each new entry so the reasoning is captured at the passage level rather than only in the memo.</t>
  </si>
  <si>
    <t>Pattern 4 — Governmental policy reversal as distinct barrier type:</t>
  </si>
  <si>
    <t>Entry 19 (EO 14110 rescission rendering NIST AI RMF RFC inaccessible) does not fit cleanly into any existing code. PRO-02 + ORG-05 captures it partially but misses the specifically political and external nature of the barrier. This is still a candidate for EMER-01. The question is whether this pattern recurs. If you find other instances of AI governance records being rendered inaccessible by political action in your remaining 42 documents, activate EMER-01. If entry 19 remains the only instance, it is better described as an unusual PRO-02 than as a new category. Hold EMER-01 — do not activate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</si>
</sst>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8" x14ac:knownFonts="1">
    <font>
      <sz val="11"/>
      <color theme="1"/>
      <name val="Calibri"/>
      <family val="2"/>
      <charset val="1"/>
    </font>
    <font>
      <b/>
      <sz val="9"/>
      <color rgb="FFFFFFFF"/>
      <name val="Arial"/>
      <family val="2"/>
      <charset val="1"/>
    </font>
    <font>
      <i/>
      <sz val="9"/>
      <color rgb="FFFFFFFF"/>
      <name val="Arial"/>
      <family val="2"/>
      <charset val="1"/>
    </font>
    <font>
      <b/>
      <sz val="9"/>
      <color rgb="FF000000"/>
      <name val="Arial"/>
      <family val="2"/>
      <charset val="1"/>
    </font>
    <font>
      <b/>
      <sz val="9"/>
      <color rgb="FF1F3864"/>
      <name val="Arial"/>
      <family val="2"/>
      <charset val="1"/>
    </font>
    <font>
      <sz val="9"/>
      <color rgb="FF000000"/>
      <name val="Arial"/>
      <family val="2"/>
      <charset val="1"/>
    </font>
    <font>
      <i/>
      <sz val="9"/>
      <color rgb="FF000000"/>
      <name val="Arial"/>
      <family val="2"/>
      <charset val="1"/>
    </font>
    <font>
      <i/>
      <sz val="9"/>
      <color rgb="FF595959"/>
      <name val="Arial"/>
      <family val="2"/>
      <charset val="1"/>
    </font>
    <font>
      <sz val="9"/>
      <color theme="1"/>
      <name val="Calibri"/>
      <family val="2"/>
      <charset val="1"/>
    </font>
    <font>
      <b/>
      <sz val="9"/>
      <color rgb="FF1E7B34"/>
      <name val="Arial"/>
      <family val="2"/>
      <charset val="1"/>
    </font>
    <font>
      <sz val="9"/>
      <color rgb="FF595959"/>
      <name val="Arial"/>
      <family val="2"/>
      <charset val="1"/>
    </font>
    <font>
      <b/>
      <sz val="11"/>
      <color theme="1"/>
      <name val="Calibri"/>
      <family val="2"/>
      <charset val="1"/>
    </font>
    <font>
      <sz val="9"/>
      <color rgb="FF1F3864"/>
      <name val="Arial"/>
      <family val="2"/>
      <charset val="1"/>
    </font>
    <font>
      <b/>
      <sz val="9"/>
      <color rgb="FF7F6000"/>
      <name val="Arial"/>
      <family val="2"/>
      <charset val="1"/>
    </font>
    <font>
      <b/>
      <sz val="9"/>
      <color theme="1"/>
      <name val="Arial"/>
      <family val="2"/>
      <charset val="1"/>
    </font>
    <font>
      <sz val="9"/>
      <color theme="1"/>
      <name val="Arial"/>
      <family val="2"/>
      <charset val="1"/>
    </font>
    <font>
      <b/>
      <sz val="9"/>
      <color theme="1"/>
      <name val="Aptos"/>
      <family val="2"/>
      <charset val="1"/>
    </font>
    <font>
      <sz val="9"/>
      <color rgb="FF000000"/>
      <name val="Aptos"/>
      <family val="2"/>
      <charset val="1"/>
    </font>
    <font>
      <sz val="9"/>
      <color theme="1"/>
      <name val="Aptos"/>
      <family val="2"/>
      <charset val="1"/>
    </font>
    <font>
      <i/>
      <sz val="8"/>
      <color rgb="FF000000"/>
      <name val="Arial"/>
      <family val="2"/>
      <charset val="1"/>
    </font>
    <font>
      <i/>
      <sz val="8"/>
      <color rgb="FF595959"/>
      <name val="Arial"/>
      <family val="2"/>
      <charset val="1"/>
    </font>
    <font>
      <sz val="10"/>
      <color theme="1"/>
      <name val="Arial"/>
      <family val="2"/>
      <charset val="1"/>
    </font>
    <font>
      <sz val="10"/>
      <color rgb="FF000000"/>
      <name val="Arial"/>
      <family val="2"/>
      <charset val="1"/>
    </font>
    <font>
      <b/>
      <sz val="12"/>
      <color theme="1"/>
      <name val="Aptos"/>
      <family val="2"/>
      <charset val="1"/>
    </font>
    <font>
      <sz val="12"/>
      <color rgb="FF000000"/>
      <name val="Aptos"/>
      <family val="2"/>
      <charset val="1"/>
    </font>
    <font>
      <sz val="12"/>
      <color theme="1"/>
      <name val="Aptos"/>
      <family val="2"/>
      <charset val="1"/>
    </font>
    <font>
      <sz val="9"/>
      <name val="Arial"/>
      <family val="2"/>
      <charset val="1"/>
    </font>
    <font>
      <b/>
      <sz val="12"/>
      <color rgb="FFFFFFFF"/>
      <name val="Arial"/>
      <family val="2"/>
      <charset val="1"/>
    </font>
    <font>
      <sz val="9"/>
      <color rgb="FF888888"/>
      <name val="Arial"/>
      <family val="2"/>
      <charset val="1"/>
    </font>
    <font>
      <b/>
      <sz val="9"/>
      <name val="Arial"/>
      <family val="2"/>
      <charset val="1"/>
    </font>
    <font>
      <sz val="9"/>
      <color rgb="FFFFFFFF"/>
      <name val="Arial"/>
      <family val="2"/>
      <charset val="1"/>
    </font>
    <font>
      <b/>
      <sz val="11"/>
      <color rgb="FFFFFFFF"/>
      <name val="Arial"/>
      <family val="2"/>
      <charset val="1"/>
    </font>
    <font>
      <b/>
      <sz val="10"/>
      <color rgb="FFFFFFFF"/>
      <name val="Arial"/>
      <family val="2"/>
      <charset val="1"/>
    </font>
    <font>
      <b/>
      <sz val="9"/>
      <color rgb="FFC00000"/>
      <name val="Arial"/>
      <family val="2"/>
      <charset val="1"/>
    </font>
    <font>
      <b/>
      <sz val="9"/>
      <color rgb="FF375623"/>
      <name val="Arial"/>
      <family val="2"/>
      <charset val="1"/>
    </font>
    <font>
      <b/>
      <sz val="9"/>
      <color rgb="FF7030A0"/>
      <name val="Arial"/>
      <family val="2"/>
      <charset val="1"/>
    </font>
    <font>
      <b/>
      <sz val="9"/>
      <color rgb="FF833C00"/>
      <name val="Arial"/>
      <family val="2"/>
      <charset val="1"/>
    </font>
    <font>
      <b/>
      <sz val="14"/>
      <color rgb="FF3D3D3A"/>
      <name val="Arial"/>
      <family val="2"/>
      <charset val="1"/>
    </font>
    <font>
      <sz val="14"/>
      <color rgb="FF141413"/>
      <name val="Arial"/>
      <family val="2"/>
      <charset val="1"/>
    </font>
    <font>
      <sz val="14"/>
      <color rgb="FF185FA5"/>
      <name val="Arial"/>
      <family val="2"/>
      <charset val="1"/>
    </font>
    <font>
      <sz val="14"/>
      <color rgb="FF3D3D3A"/>
      <name val="Arial"/>
      <family val="2"/>
      <charset val="1"/>
    </font>
    <font>
      <sz val="14"/>
      <color rgb="FF0F6E56"/>
      <name val="Arial"/>
      <family val="2"/>
      <charset val="1"/>
    </font>
    <font>
      <sz val="14"/>
      <color rgb="FF854F0B"/>
      <name val="Arial"/>
      <family val="2"/>
      <charset val="1"/>
    </font>
    <font>
      <sz val="14"/>
      <color rgb="FF993356"/>
      <name val="Arial"/>
      <family val="2"/>
      <charset val="1"/>
    </font>
    <font>
      <sz val="11"/>
      <name val="Calibri"/>
      <family val="2"/>
    </font>
    <font>
      <b/>
      <sz val="18"/>
      <color theme="1"/>
      <name val="Calibri"/>
      <family val="2"/>
      <charset val="1"/>
    </font>
    <font>
      <b/>
      <sz val="11"/>
      <name val="Calibri"/>
      <family val="2"/>
    </font>
    <font>
      <b/>
      <sz val="12"/>
      <name val="Calibri"/>
      <family val="2"/>
    </font>
    <font>
      <b/>
      <sz val="14"/>
      <color rgb="FF185FA5"/>
      <name val="Arial"/>
      <family val="2"/>
      <charset val="1"/>
    </font>
    <font>
      <b/>
      <sz val="14"/>
      <color rgb="FF0F6E56"/>
      <name val="Arial"/>
      <family val="2"/>
      <charset val="1"/>
    </font>
    <font>
      <b/>
      <sz val="14"/>
      <color rgb="FF854F0B"/>
      <name val="Arial"/>
      <family val="2"/>
      <charset val="1"/>
    </font>
    <font>
      <b/>
      <sz val="14"/>
      <color rgb="FF993356"/>
      <name val="Arial"/>
      <family val="2"/>
      <charset val="1"/>
    </font>
    <font>
      <b/>
      <sz val="16"/>
      <color rgb="FF3D3D3A"/>
      <name val="Arial"/>
      <family val="2"/>
      <charset val="1"/>
    </font>
    <font>
      <b/>
      <sz val="16"/>
      <color theme="1"/>
      <name val="Courier New"/>
      <family val="3"/>
      <charset val="1"/>
    </font>
    <font>
      <b/>
      <sz val="16"/>
      <color theme="1"/>
      <name val="Arial"/>
      <family val="2"/>
      <charset val="1"/>
    </font>
    <font>
      <sz val="15"/>
      <color rgb="FF141413"/>
      <name val="Arial"/>
      <family val="2"/>
      <charset val="1"/>
    </font>
    <font>
      <sz val="15"/>
      <color theme="1"/>
      <name val="Calibri"/>
      <family val="2"/>
      <charset val="1"/>
    </font>
    <font>
      <b/>
      <sz val="14"/>
      <color rgb="FF141413"/>
      <name val="Arial"/>
      <family val="2"/>
    </font>
  </fonts>
  <fills count="22">
    <fill>
      <patternFill patternType="none"/>
    </fill>
    <fill>
      <patternFill patternType="gray125"/>
    </fill>
    <fill>
      <patternFill patternType="solid">
        <fgColor rgb="FF1F3864"/>
        <bgColor rgb="FF333399"/>
      </patternFill>
    </fill>
    <fill>
      <patternFill patternType="solid">
        <fgColor rgb="FF2E75B6"/>
        <bgColor rgb="FF4F81BD"/>
      </patternFill>
    </fill>
    <fill>
      <patternFill patternType="solid">
        <fgColor rgb="FFF2F2F2"/>
        <bgColor rgb="FFE2EFDA"/>
      </patternFill>
    </fill>
    <fill>
      <patternFill patternType="solid">
        <fgColor rgb="FFFFFFFF"/>
        <bgColor rgb="FFF2F2F2"/>
      </patternFill>
    </fill>
    <fill>
      <patternFill patternType="solid">
        <fgColor rgb="FFFFFF00"/>
        <bgColor rgb="FFFFFF00"/>
      </patternFill>
    </fill>
    <fill>
      <patternFill patternType="solid">
        <fgColor rgb="FFDCE6F1"/>
        <bgColor rgb="FFD6E4F0"/>
      </patternFill>
    </fill>
    <fill>
      <patternFill patternType="solid">
        <fgColor rgb="FFFFF2CC"/>
        <bgColor rgb="FFF2F2F2"/>
      </patternFill>
    </fill>
    <fill>
      <patternFill patternType="solid">
        <fgColor rgb="FFE2EFDA"/>
        <bgColor rgb="FFD9EAD3"/>
      </patternFill>
    </fill>
    <fill>
      <patternFill patternType="solid">
        <fgColor rgb="FFD9D9D9"/>
        <bgColor rgb="FFD9E1F2"/>
      </patternFill>
    </fill>
    <fill>
      <patternFill patternType="solid">
        <fgColor rgb="FF7030A0"/>
        <bgColor rgb="FF993356"/>
      </patternFill>
    </fill>
    <fill>
      <patternFill patternType="solid">
        <fgColor rgb="FFD6E4F0"/>
        <bgColor rgb="FFD9E1F2"/>
      </patternFill>
    </fill>
    <fill>
      <patternFill patternType="solid">
        <fgColor rgb="FF92D050"/>
        <bgColor rgb="FFA6A6A6"/>
      </patternFill>
    </fill>
    <fill>
      <patternFill patternType="solid">
        <fgColor rgb="FFFADADD"/>
        <bgColor rgb="FFEAD1F7"/>
      </patternFill>
    </fill>
    <fill>
      <patternFill patternType="solid">
        <fgColor rgb="FFD9EAD3"/>
        <bgColor rgb="FFE2EFDA"/>
      </patternFill>
    </fill>
    <fill>
      <patternFill patternType="solid">
        <fgColor rgb="FFEAD1F7"/>
        <bgColor rgb="FFFADADD"/>
      </patternFill>
    </fill>
    <fill>
      <patternFill patternType="solid">
        <fgColor theme="0" tint="-0.34998626667073579"/>
        <bgColor rgb="FFBFBFBF"/>
      </patternFill>
    </fill>
    <fill>
      <patternFill patternType="solid">
        <fgColor theme="4"/>
        <bgColor rgb="FF2E75B6"/>
      </patternFill>
    </fill>
    <fill>
      <patternFill patternType="solid">
        <fgColor rgb="FFFFC000"/>
        <bgColor rgb="FFFF9900"/>
      </patternFill>
    </fill>
    <fill>
      <patternFill patternType="solid">
        <fgColor rgb="FF00B0F0"/>
        <bgColor rgb="FF33CCCC"/>
      </patternFill>
    </fill>
    <fill>
      <patternFill patternType="solid">
        <fgColor rgb="FFD9E1F2"/>
        <bgColor rgb="FFD6E4F0"/>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2E75B6"/>
      </left>
      <right style="thin">
        <color rgb="FF2E75B6"/>
      </right>
      <top style="thin">
        <color rgb="FF2E75B6"/>
      </top>
      <bottom style="thin">
        <color rgb="FF2E75B6"/>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thin">
        <color auto="1"/>
      </left>
      <right style="thin">
        <color auto="1"/>
      </right>
      <top style="thin">
        <color auto="1"/>
      </top>
      <bottom style="thin">
        <color auto="1"/>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71">
    <xf numFmtId="0" fontId="0" fillId="0" borderId="0" xfId="0"/>
    <xf numFmtId="0" fontId="3" fillId="5" borderId="1" xfId="0" applyFont="1" applyFill="1" applyBorder="1" applyAlignment="1">
      <alignment horizontal="center" vertical="top" wrapText="1"/>
    </xf>
    <xf numFmtId="0" fontId="1" fillId="3"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5" fillId="4" borderId="1" xfId="0" applyFont="1" applyFill="1" applyBorder="1" applyAlignment="1">
      <alignment horizontal="left" vertical="top" wrapText="1"/>
    </xf>
    <xf numFmtId="0" fontId="5" fillId="4"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8" fillId="0" borderId="0" xfId="0" applyFont="1"/>
    <xf numFmtId="0" fontId="9"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5" fillId="5" borderId="1" xfId="0" applyFont="1" applyFill="1" applyBorder="1" applyAlignment="1">
      <alignment horizontal="left" vertical="top" wrapText="1"/>
    </xf>
    <xf numFmtId="0" fontId="5" fillId="5"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10" fillId="5" borderId="1" xfId="0" applyFont="1" applyFill="1" applyBorder="1" applyAlignment="1">
      <alignment horizontal="center" vertical="top" wrapText="1"/>
    </xf>
    <xf numFmtId="0" fontId="10" fillId="4" borderId="1" xfId="0" applyFont="1" applyFill="1" applyBorder="1" applyAlignment="1">
      <alignment horizontal="center" vertical="top" wrapText="1"/>
    </xf>
    <xf numFmtId="0" fontId="11" fillId="0" borderId="0" xfId="0" applyFont="1"/>
    <xf numFmtId="0" fontId="5" fillId="4" borderId="2" xfId="0" applyFont="1" applyFill="1" applyBorder="1" applyAlignment="1">
      <alignment horizontal="left" vertical="top" wrapText="1"/>
    </xf>
    <xf numFmtId="0" fontId="4" fillId="5" borderId="1" xfId="0" applyFont="1" applyFill="1" applyBorder="1" applyAlignment="1">
      <alignment horizontal="center" vertical="top"/>
    </xf>
    <xf numFmtId="0" fontId="4" fillId="4" borderId="1" xfId="0" applyFont="1" applyFill="1" applyBorder="1" applyAlignment="1">
      <alignment horizontal="center" vertical="top"/>
    </xf>
    <xf numFmtId="0" fontId="4" fillId="6" borderId="1" xfId="0" applyFont="1" applyFill="1" applyBorder="1" applyAlignment="1">
      <alignment horizontal="center" vertical="top"/>
    </xf>
    <xf numFmtId="0" fontId="4" fillId="4" borderId="2" xfId="0" applyFont="1" applyFill="1" applyBorder="1" applyAlignment="1">
      <alignment horizontal="center" vertical="top"/>
    </xf>
    <xf numFmtId="0" fontId="8" fillId="0" borderId="0" xfId="0" applyFont="1" applyAlignment="1">
      <alignment wrapText="1"/>
    </xf>
    <xf numFmtId="0" fontId="12" fillId="7" borderId="3" xfId="0" applyFont="1" applyFill="1" applyBorder="1" applyAlignment="1">
      <alignment vertical="top" wrapText="1"/>
    </xf>
    <xf numFmtId="0" fontId="4" fillId="7" borderId="3" xfId="0" applyFont="1" applyFill="1" applyBorder="1" applyAlignment="1">
      <alignment vertical="top" wrapText="1"/>
    </xf>
    <xf numFmtId="0" fontId="13" fillId="8" borderId="3" xfId="0" applyFont="1" applyFill="1" applyBorder="1" applyAlignment="1">
      <alignment vertical="top" wrapText="1"/>
    </xf>
    <xf numFmtId="0" fontId="12" fillId="5" borderId="3" xfId="0" applyFont="1" applyFill="1" applyBorder="1" applyAlignment="1">
      <alignment vertical="top" wrapText="1"/>
    </xf>
    <xf numFmtId="0" fontId="4" fillId="5" borderId="3" xfId="0" applyFont="1" applyFill="1" applyBorder="1" applyAlignment="1">
      <alignment vertical="top" wrapText="1"/>
    </xf>
    <xf numFmtId="0" fontId="5" fillId="9" borderId="1" xfId="0" applyFont="1" applyFill="1" applyBorder="1" applyAlignment="1">
      <alignment horizontal="left" vertical="top" wrapText="1"/>
    </xf>
    <xf numFmtId="0" fontId="5" fillId="9" borderId="1" xfId="0" applyFont="1" applyFill="1" applyBorder="1" applyAlignment="1">
      <alignment horizontal="center" vertical="top" wrapText="1"/>
    </xf>
    <xf numFmtId="0" fontId="6" fillId="9" borderId="1" xfId="0" applyFont="1" applyFill="1" applyBorder="1" applyAlignment="1">
      <alignment horizontal="left" vertical="top" wrapText="1"/>
    </xf>
    <xf numFmtId="0" fontId="7" fillId="9" borderId="1" xfId="0" applyFont="1" applyFill="1" applyBorder="1" applyAlignment="1">
      <alignment horizontal="left" vertical="top" wrapText="1"/>
    </xf>
    <xf numFmtId="0" fontId="14" fillId="0" borderId="4" xfId="0" applyFont="1" applyBorder="1" applyAlignment="1">
      <alignment vertical="center" wrapText="1"/>
    </xf>
    <xf numFmtId="0" fontId="15" fillId="0" borderId="5" xfId="0" applyFont="1" applyBorder="1" applyAlignment="1">
      <alignment vertical="center" wrapText="1"/>
    </xf>
    <xf numFmtId="0" fontId="14" fillId="0" borderId="5" xfId="0" applyFont="1" applyBorder="1" applyAlignment="1">
      <alignment vertical="center" wrapText="1"/>
    </xf>
    <xf numFmtId="0" fontId="15" fillId="0" borderId="0" xfId="0" applyFont="1"/>
    <xf numFmtId="0" fontId="5" fillId="4" borderId="6" xfId="0" applyFont="1" applyFill="1" applyBorder="1" applyAlignment="1">
      <alignment vertical="center" wrapText="1"/>
    </xf>
    <xf numFmtId="0" fontId="5" fillId="4" borderId="7" xfId="0" applyFont="1" applyFill="1" applyBorder="1" applyAlignment="1">
      <alignment vertical="center" wrapText="1"/>
    </xf>
    <xf numFmtId="0" fontId="15" fillId="4" borderId="7" xfId="0" applyFont="1" applyFill="1" applyBorder="1" applyAlignment="1">
      <alignment vertical="center" wrapText="1"/>
    </xf>
    <xf numFmtId="0" fontId="15" fillId="0" borderId="6" xfId="0" applyFont="1" applyBorder="1" applyAlignment="1">
      <alignment vertical="center" wrapText="1"/>
    </xf>
    <xf numFmtId="0" fontId="15" fillId="0" borderId="7" xfId="0" applyFont="1" applyBorder="1" applyAlignment="1">
      <alignment vertical="center" wrapText="1"/>
    </xf>
    <xf numFmtId="0" fontId="16" fillId="0" borderId="4" xfId="0" applyFont="1" applyBorder="1" applyAlignment="1">
      <alignment vertical="center" wrapText="1"/>
    </xf>
    <xf numFmtId="0" fontId="16" fillId="0" borderId="5" xfId="0" applyFont="1" applyBorder="1" applyAlignment="1">
      <alignment vertical="center" wrapText="1"/>
    </xf>
    <xf numFmtId="0" fontId="17" fillId="4" borderId="6" xfId="0" applyFont="1" applyFill="1" applyBorder="1" applyAlignment="1">
      <alignment vertical="center" wrapText="1"/>
    </xf>
    <xf numFmtId="0" fontId="17" fillId="4" borderId="7" xfId="0" applyFont="1" applyFill="1" applyBorder="1" applyAlignment="1">
      <alignment vertical="center" wrapText="1"/>
    </xf>
    <xf numFmtId="0" fontId="18" fillId="0" borderId="6" xfId="0" applyFont="1" applyBorder="1" applyAlignment="1">
      <alignment vertical="center" wrapText="1"/>
    </xf>
    <xf numFmtId="0" fontId="18" fillId="0" borderId="7" xfId="0" applyFont="1" applyBorder="1" applyAlignment="1">
      <alignment vertical="center" wrapText="1"/>
    </xf>
    <xf numFmtId="0" fontId="18" fillId="4" borderId="7" xfId="0" applyFont="1" applyFill="1" applyBorder="1" applyAlignment="1">
      <alignment vertical="center" wrapText="1"/>
    </xf>
    <xf numFmtId="0" fontId="4" fillId="9" borderId="1" xfId="0" applyFont="1" applyFill="1" applyBorder="1" applyAlignment="1">
      <alignment horizontal="center" vertical="top" wrapText="1"/>
    </xf>
    <xf numFmtId="0" fontId="19" fillId="9" borderId="1" xfId="0" applyFont="1" applyFill="1" applyBorder="1" applyAlignment="1">
      <alignment horizontal="left" vertical="top" wrapText="1"/>
    </xf>
    <xf numFmtId="0" fontId="20" fillId="9" borderId="1" xfId="0" applyFont="1" applyFill="1" applyBorder="1" applyAlignment="1">
      <alignment horizontal="left" vertical="top" wrapText="1"/>
    </xf>
    <xf numFmtId="0" fontId="21" fillId="0" borderId="4" xfId="0" applyFont="1" applyBorder="1" applyAlignment="1">
      <alignment vertical="center" wrapText="1"/>
    </xf>
    <xf numFmtId="0" fontId="21" fillId="0" borderId="5" xfId="0" applyFont="1" applyBorder="1" applyAlignment="1">
      <alignment vertical="center" wrapText="1"/>
    </xf>
    <xf numFmtId="0" fontId="22" fillId="4" borderId="6" xfId="0" applyFont="1" applyFill="1" applyBorder="1" applyAlignment="1">
      <alignment vertical="center" wrapText="1"/>
    </xf>
    <xf numFmtId="0" fontId="22" fillId="4" borderId="7" xfId="0" applyFont="1" applyFill="1" applyBorder="1" applyAlignment="1">
      <alignment vertical="center" wrapText="1"/>
    </xf>
    <xf numFmtId="0" fontId="21" fillId="0" borderId="6" xfId="0" applyFont="1" applyBorder="1" applyAlignment="1">
      <alignment vertical="center" wrapText="1"/>
    </xf>
    <xf numFmtId="0" fontId="21" fillId="0" borderId="7" xfId="0" applyFont="1" applyBorder="1" applyAlignment="1">
      <alignment vertical="center" wrapText="1"/>
    </xf>
    <xf numFmtId="0" fontId="19" fillId="4" borderId="1" xfId="0" applyFont="1" applyFill="1" applyBorder="1" applyAlignment="1">
      <alignment horizontal="left" vertical="top" wrapText="1"/>
    </xf>
    <xf numFmtId="0" fontId="20" fillId="4" borderId="1" xfId="0" applyFont="1" applyFill="1" applyBorder="1" applyAlignment="1">
      <alignment horizontal="left" vertical="top" wrapText="1"/>
    </xf>
    <xf numFmtId="0" fontId="23" fillId="0" borderId="4" xfId="0" applyFont="1" applyBorder="1" applyAlignment="1">
      <alignment vertical="center" wrapText="1"/>
    </xf>
    <xf numFmtId="0" fontId="23" fillId="0" borderId="5" xfId="0" applyFont="1" applyBorder="1" applyAlignment="1">
      <alignment vertical="center" wrapText="1"/>
    </xf>
    <xf numFmtId="0" fontId="24" fillId="4" borderId="6" xfId="0" applyFont="1" applyFill="1" applyBorder="1" applyAlignment="1">
      <alignment vertical="center" wrapText="1"/>
    </xf>
    <xf numFmtId="0" fontId="24" fillId="4" borderId="7" xfId="0" applyFont="1" applyFill="1" applyBorder="1" applyAlignment="1">
      <alignment vertical="center" wrapText="1"/>
    </xf>
    <xf numFmtId="0" fontId="25" fillId="0" borderId="6" xfId="0" applyFont="1" applyBorder="1" applyAlignment="1">
      <alignment vertical="center" wrapText="1"/>
    </xf>
    <xf numFmtId="0" fontId="25" fillId="0" borderId="7" xfId="0" applyFont="1" applyBorder="1" applyAlignment="1">
      <alignment vertical="center" wrapText="1"/>
    </xf>
    <xf numFmtId="0" fontId="0" fillId="0" borderId="0" xfId="0" applyAlignment="1">
      <alignment vertical="center" wrapText="1"/>
    </xf>
    <xf numFmtId="0" fontId="11" fillId="0" borderId="0" xfId="0" applyFont="1" applyAlignment="1">
      <alignment vertical="center" wrapText="1"/>
    </xf>
    <xf numFmtId="0" fontId="26" fillId="8" borderId="1" xfId="0" applyFont="1" applyFill="1" applyBorder="1" applyAlignment="1">
      <alignment horizontal="left" vertical="top" wrapText="1"/>
    </xf>
    <xf numFmtId="0" fontId="26" fillId="9" borderId="1" xfId="0" applyFont="1" applyFill="1" applyBorder="1" applyAlignment="1">
      <alignment horizontal="left" vertical="top" wrapText="1"/>
    </xf>
    <xf numFmtId="0" fontId="9" fillId="9" borderId="1" xfId="0" applyFont="1" applyFill="1" applyBorder="1" applyAlignment="1">
      <alignment horizontal="center" vertical="top" wrapText="1"/>
    </xf>
    <xf numFmtId="0" fontId="28" fillId="4" borderId="1" xfId="0" applyFont="1" applyFill="1" applyBorder="1" applyAlignment="1">
      <alignment horizontal="center" vertical="top" wrapText="1"/>
    </xf>
    <xf numFmtId="0" fontId="19" fillId="5" borderId="1" xfId="0" applyFont="1" applyFill="1" applyBorder="1" applyAlignment="1">
      <alignment horizontal="left" vertical="top" wrapText="1"/>
    </xf>
    <xf numFmtId="0" fontId="20" fillId="5" borderId="1" xfId="0" applyFont="1" applyFill="1" applyBorder="1" applyAlignment="1">
      <alignment horizontal="left" vertical="top" wrapText="1"/>
    </xf>
    <xf numFmtId="0" fontId="28" fillId="5" borderId="1" xfId="0" applyFont="1" applyFill="1" applyBorder="1" applyAlignment="1">
      <alignment horizontal="center" vertical="top" wrapText="1"/>
    </xf>
    <xf numFmtId="0" fontId="28" fillId="0" borderId="1" xfId="0" applyFont="1" applyBorder="1" applyAlignment="1">
      <alignment horizontal="center" vertical="top" wrapText="1"/>
    </xf>
    <xf numFmtId="0" fontId="29" fillId="10" borderId="1" xfId="0" applyFont="1" applyFill="1" applyBorder="1" applyAlignment="1">
      <alignment horizontal="center" vertical="center"/>
    </xf>
    <xf numFmtId="0" fontId="0" fillId="0" borderId="0" xfId="0" applyAlignment="1">
      <alignment wrapText="1"/>
    </xf>
    <xf numFmtId="0" fontId="0" fillId="0" borderId="0" xfId="0" applyAlignment="1">
      <alignment vertical="top"/>
    </xf>
    <xf numFmtId="0" fontId="1" fillId="11" borderId="1" xfId="0" applyFont="1" applyFill="1" applyBorder="1" applyAlignment="1">
      <alignment horizontal="center" vertical="top" wrapText="1"/>
    </xf>
    <xf numFmtId="0" fontId="30" fillId="11" borderId="1" xfId="0" applyFont="1" applyFill="1" applyBorder="1" applyAlignment="1">
      <alignment horizontal="center" vertical="top" wrapText="1"/>
    </xf>
    <xf numFmtId="0" fontId="1" fillId="11" borderId="2" xfId="0" applyFont="1" applyFill="1" applyBorder="1" applyAlignment="1">
      <alignment horizontal="center" vertical="top" wrapText="1"/>
    </xf>
    <xf numFmtId="14" fontId="5" fillId="4" borderId="1" xfId="0" applyNumberFormat="1" applyFont="1" applyFill="1" applyBorder="1" applyAlignment="1">
      <alignment horizontal="left" vertical="top" wrapText="1"/>
    </xf>
    <xf numFmtId="14" fontId="5" fillId="5" borderId="1" xfId="0" applyNumberFormat="1" applyFont="1" applyFill="1" applyBorder="1" applyAlignment="1">
      <alignment horizontal="left" vertical="top" wrapText="1"/>
    </xf>
    <xf numFmtId="0" fontId="0" fillId="0" borderId="0" xfId="0" applyAlignment="1">
      <alignment vertical="top" wrapText="1"/>
    </xf>
    <xf numFmtId="0" fontId="3" fillId="4" borderId="2" xfId="0" applyFont="1" applyFill="1" applyBorder="1" applyAlignment="1">
      <alignment horizontal="center" vertical="top" wrapText="1"/>
    </xf>
    <xf numFmtId="14" fontId="0" fillId="0" borderId="0" xfId="0" applyNumberFormat="1" applyAlignment="1">
      <alignment vertical="top"/>
    </xf>
    <xf numFmtId="0" fontId="3" fillId="5" borderId="2" xfId="0" applyFont="1" applyFill="1" applyBorder="1" applyAlignment="1">
      <alignment horizontal="center" vertical="top" wrapText="1"/>
    </xf>
    <xf numFmtId="0" fontId="1" fillId="2" borderId="1" xfId="0" applyFont="1" applyFill="1" applyBorder="1" applyAlignment="1">
      <alignment horizontal="center" vertical="center" wrapText="1"/>
    </xf>
    <xf numFmtId="0" fontId="29" fillId="5" borderId="1" xfId="0" applyFont="1" applyFill="1" applyBorder="1" applyAlignment="1">
      <alignment horizontal="center" vertical="top"/>
    </xf>
    <xf numFmtId="0" fontId="0" fillId="13" borderId="0" xfId="0" applyFill="1" applyAlignment="1">
      <alignment wrapText="1"/>
    </xf>
    <xf numFmtId="0" fontId="3" fillId="14" borderId="1" xfId="0" applyFont="1" applyFill="1" applyBorder="1" applyAlignment="1">
      <alignment horizontal="left" vertical="top" wrapText="1"/>
    </xf>
    <xf numFmtId="0" fontId="33" fillId="14" borderId="1" xfId="0" applyFont="1" applyFill="1" applyBorder="1" applyAlignment="1">
      <alignment horizontal="left" vertical="top" wrapText="1"/>
    </xf>
    <xf numFmtId="0" fontId="5" fillId="14" borderId="1" xfId="0" applyFont="1" applyFill="1" applyBorder="1" applyAlignment="1">
      <alignment horizontal="left" vertical="top" wrapText="1"/>
    </xf>
    <xf numFmtId="0" fontId="26" fillId="14" borderId="1" xfId="0" applyFont="1" applyFill="1" applyBorder="1" applyAlignment="1">
      <alignment horizontal="center" vertical="top"/>
    </xf>
    <xf numFmtId="0" fontId="29" fillId="14" borderId="1" xfId="0" applyFont="1" applyFill="1" applyBorder="1" applyAlignment="1">
      <alignment horizontal="center" vertical="top"/>
    </xf>
    <xf numFmtId="0" fontId="3" fillId="15" borderId="1" xfId="0" applyFont="1" applyFill="1" applyBorder="1" applyAlignment="1">
      <alignment horizontal="left" vertical="top" wrapText="1"/>
    </xf>
    <xf numFmtId="0" fontId="34" fillId="15" borderId="1" xfId="0" applyFont="1" applyFill="1" applyBorder="1" applyAlignment="1">
      <alignment horizontal="left" vertical="top" wrapText="1"/>
    </xf>
    <xf numFmtId="0" fontId="5" fillId="15" borderId="1" xfId="0" applyFont="1" applyFill="1" applyBorder="1" applyAlignment="1">
      <alignment horizontal="left" vertical="top" wrapText="1"/>
    </xf>
    <xf numFmtId="0" fontId="26" fillId="15" borderId="1" xfId="0" applyFont="1" applyFill="1" applyBorder="1" applyAlignment="1">
      <alignment horizontal="center" vertical="top"/>
    </xf>
    <xf numFmtId="0" fontId="29" fillId="15" borderId="1" xfId="0" applyFont="1" applyFill="1" applyBorder="1" applyAlignment="1">
      <alignment horizontal="center" vertical="top"/>
    </xf>
    <xf numFmtId="0" fontId="3" fillId="16" borderId="1" xfId="0" applyFont="1" applyFill="1" applyBorder="1" applyAlignment="1">
      <alignment horizontal="left" vertical="top" wrapText="1"/>
    </xf>
    <xf numFmtId="0" fontId="35" fillId="16" borderId="1" xfId="0" applyFont="1" applyFill="1" applyBorder="1" applyAlignment="1">
      <alignment horizontal="left" vertical="top" wrapText="1"/>
    </xf>
    <xf numFmtId="0" fontId="5" fillId="16" borderId="1" xfId="0" applyFont="1" applyFill="1" applyBorder="1" applyAlignment="1">
      <alignment horizontal="left" vertical="top" wrapText="1"/>
    </xf>
    <xf numFmtId="0" fontId="26" fillId="16" borderId="1" xfId="0" applyFont="1" applyFill="1" applyBorder="1" applyAlignment="1">
      <alignment horizontal="center" vertical="top"/>
    </xf>
    <xf numFmtId="0" fontId="29" fillId="16" borderId="1" xfId="0" applyFont="1" applyFill="1" applyBorder="1" applyAlignment="1">
      <alignment horizontal="center" vertical="top"/>
    </xf>
    <xf numFmtId="0" fontId="3" fillId="8" borderId="1" xfId="0" applyFont="1" applyFill="1" applyBorder="1" applyAlignment="1">
      <alignment horizontal="left" vertical="top" wrapText="1"/>
    </xf>
    <xf numFmtId="0" fontId="36" fillId="8"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6" fillId="8" borderId="1" xfId="0" applyFont="1" applyFill="1" applyBorder="1" applyAlignment="1">
      <alignment horizontal="center" vertical="top"/>
    </xf>
    <xf numFmtId="0" fontId="29" fillId="8" borderId="1" xfId="0" applyFont="1" applyFill="1" applyBorder="1" applyAlignment="1">
      <alignment horizontal="center" vertical="top"/>
    </xf>
    <xf numFmtId="0" fontId="37" fillId="17" borderId="8" xfId="0" applyFont="1" applyFill="1" applyBorder="1" applyAlignment="1">
      <alignment horizontal="center" vertical="center" wrapText="1"/>
    </xf>
    <xf numFmtId="9" fontId="38" fillId="0" borderId="8" xfId="0" applyNumberFormat="1" applyFont="1" applyBorder="1" applyAlignment="1">
      <alignment horizontal="center" vertical="top" wrapText="1"/>
    </xf>
    <xf numFmtId="0" fontId="11" fillId="6" borderId="8" xfId="0" applyFont="1" applyFill="1" applyBorder="1" applyAlignment="1">
      <alignment vertical="top"/>
    </xf>
    <xf numFmtId="0" fontId="11" fillId="6" borderId="8" xfId="0" applyFont="1" applyFill="1" applyBorder="1" applyAlignment="1">
      <alignment vertical="top" wrapText="1"/>
    </xf>
    <xf numFmtId="0" fontId="0" fillId="0" borderId="8" xfId="0" applyBorder="1" applyAlignment="1">
      <alignment vertical="top"/>
    </xf>
    <xf numFmtId="0" fontId="11" fillId="0" borderId="8" xfId="0" applyFont="1" applyBorder="1" applyAlignment="1">
      <alignment vertical="top" wrapText="1"/>
    </xf>
    <xf numFmtId="0" fontId="0" fillId="0" borderId="8" xfId="0" applyBorder="1" applyAlignment="1">
      <alignment vertical="top" wrapText="1"/>
    </xf>
    <xf numFmtId="14" fontId="0" fillId="0" borderId="8" xfId="0" applyNumberFormat="1" applyBorder="1" applyAlignment="1">
      <alignment vertical="top"/>
    </xf>
    <xf numFmtId="14" fontId="0" fillId="0" borderId="8" xfId="0" applyNumberFormat="1" applyBorder="1"/>
    <xf numFmtId="164" fontId="44" fillId="0" borderId="0" xfId="0" applyNumberFormat="1" applyFont="1" applyAlignment="1">
      <alignment vertical="top" wrapText="1"/>
    </xf>
    <xf numFmtId="0" fontId="44" fillId="0" borderId="0" xfId="0" applyFont="1" applyAlignment="1">
      <alignment vertical="top" wrapText="1"/>
    </xf>
    <xf numFmtId="0" fontId="45" fillId="0" borderId="0" xfId="0" applyFont="1" applyAlignment="1">
      <alignment vertical="center"/>
    </xf>
    <xf numFmtId="0" fontId="11" fillId="0" borderId="0" xfId="0" applyFont="1" applyAlignment="1">
      <alignment horizontal="center" vertical="center" wrapText="1"/>
    </xf>
    <xf numFmtId="0" fontId="0" fillId="0" borderId="0" xfId="0" applyAlignment="1">
      <alignment horizontal="left" vertical="center" indent="1"/>
    </xf>
    <xf numFmtId="0" fontId="11" fillId="0" borderId="0" xfId="0" applyFont="1" applyAlignment="1">
      <alignment horizontal="left" vertical="center" indent="1"/>
    </xf>
    <xf numFmtId="0" fontId="46" fillId="0" borderId="0" xfId="0" applyFont="1" applyAlignment="1">
      <alignment vertical="top" wrapText="1"/>
    </xf>
    <xf numFmtId="0" fontId="47" fillId="21" borderId="0" xfId="0" applyFont="1" applyFill="1" applyAlignment="1">
      <alignment vertical="top" wrapText="1"/>
    </xf>
    <xf numFmtId="0" fontId="52" fillId="17" borderId="8" xfId="0" applyFont="1" applyFill="1" applyBorder="1" applyAlignment="1">
      <alignment horizontal="left" vertical="center" wrapText="1"/>
    </xf>
    <xf numFmtId="0" fontId="52" fillId="0" borderId="8" xfId="0" applyFont="1" applyBorder="1" applyAlignment="1">
      <alignment vertical="center" wrapText="1"/>
    </xf>
    <xf numFmtId="0" fontId="53" fillId="18" borderId="8" xfId="0" applyFont="1" applyFill="1" applyBorder="1" applyAlignment="1">
      <alignment vertical="center"/>
    </xf>
    <xf numFmtId="0" fontId="54" fillId="0" borderId="8" xfId="0" applyFont="1" applyBorder="1" applyAlignment="1">
      <alignment vertical="center" wrapText="1"/>
    </xf>
    <xf numFmtId="0" fontId="53" fillId="19" borderId="8" xfId="0" applyFont="1" applyFill="1" applyBorder="1" applyAlignment="1">
      <alignment vertical="center"/>
    </xf>
    <xf numFmtId="0" fontId="53" fillId="13" borderId="8" xfId="0" applyFont="1" applyFill="1" applyBorder="1" applyAlignment="1">
      <alignment vertical="center"/>
    </xf>
    <xf numFmtId="0" fontId="53" fillId="20" borderId="8" xfId="0" applyFont="1" applyFill="1" applyBorder="1" applyAlignment="1">
      <alignment vertical="center"/>
    </xf>
    <xf numFmtId="0" fontId="57" fillId="0" borderId="8" xfId="0" applyFont="1" applyBorder="1" applyAlignment="1">
      <alignment horizontal="center" vertical="top" wrapText="1"/>
    </xf>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27"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9" xfId="0" applyBorder="1"/>
    <xf numFmtId="0" fontId="0" fillId="0" borderId="10" xfId="0" applyBorder="1"/>
    <xf numFmtId="0" fontId="2" fillId="3" borderId="0" xfId="0" applyFont="1" applyFill="1" applyAlignment="1">
      <alignment horizontal="center" vertical="top"/>
    </xf>
    <xf numFmtId="0" fontId="0" fillId="0" borderId="0" xfId="0" applyAlignment="1">
      <alignment wrapText="1"/>
    </xf>
    <xf numFmtId="0" fontId="27" fillId="2" borderId="0" xfId="0" applyFont="1" applyFill="1" applyAlignment="1">
      <alignment horizontal="center" vertical="top"/>
    </xf>
    <xf numFmtId="0" fontId="31" fillId="2" borderId="0" xfId="0" applyFont="1" applyFill="1" applyAlignment="1">
      <alignment horizontal="center" vertical="center"/>
    </xf>
    <xf numFmtId="0" fontId="19" fillId="8" borderId="1" xfId="0" applyFont="1" applyFill="1" applyBorder="1" applyAlignment="1">
      <alignment horizontal="left" vertical="top" wrapText="1"/>
    </xf>
    <xf numFmtId="0" fontId="3" fillId="9"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4" fillId="12" borderId="1" xfId="0" applyFont="1" applyFill="1" applyBorder="1" applyAlignment="1">
      <alignment horizontal="left" vertical="center" indent="1"/>
    </xf>
    <xf numFmtId="0" fontId="3" fillId="4" borderId="1" xfId="0" applyFont="1" applyFill="1" applyBorder="1" applyAlignment="1">
      <alignment horizontal="left" vertical="top" wrapText="1"/>
    </xf>
    <xf numFmtId="0" fontId="3" fillId="5" borderId="1" xfId="0" applyFont="1" applyFill="1" applyBorder="1" applyAlignment="1">
      <alignment horizontal="center" vertical="top" wrapText="1"/>
    </xf>
    <xf numFmtId="0" fontId="32" fillId="2" borderId="1" xfId="0" applyFont="1" applyFill="1" applyBorder="1" applyAlignment="1">
      <alignment horizontal="center" vertical="center"/>
    </xf>
    <xf numFmtId="0" fontId="32" fillId="2" borderId="1" xfId="0" applyFont="1" applyFill="1" applyBorder="1" applyAlignment="1">
      <alignment horizontal="left" vertical="center" indent="1"/>
    </xf>
    <xf numFmtId="0" fontId="40" fillId="0" borderId="8" xfId="0" applyFont="1" applyBorder="1" applyAlignment="1">
      <alignment vertical="top" wrapText="1"/>
    </xf>
    <xf numFmtId="0" fontId="0" fillId="0" borderId="11" xfId="0" applyBorder="1"/>
    <xf numFmtId="0" fontId="43" fillId="0" borderId="8" xfId="0" applyFont="1" applyBorder="1" applyAlignment="1">
      <alignment horizontal="center" vertical="top" wrapText="1"/>
    </xf>
    <xf numFmtId="0" fontId="0" fillId="0" borderId="12" xfId="0" applyBorder="1"/>
    <xf numFmtId="0" fontId="55" fillId="0" borderId="8" xfId="0" applyFont="1" applyBorder="1" applyAlignment="1">
      <alignment vertical="top" wrapText="1"/>
    </xf>
    <xf numFmtId="0" fontId="56" fillId="0" borderId="12" xfId="0" applyFont="1" applyBorder="1"/>
    <xf numFmtId="0" fontId="50" fillId="0" borderId="8" xfId="0" applyFont="1" applyBorder="1" applyAlignment="1">
      <alignment horizontal="center" vertical="top" wrapText="1"/>
    </xf>
    <xf numFmtId="0" fontId="11" fillId="0" borderId="12" xfId="0" applyFont="1" applyBorder="1"/>
    <xf numFmtId="0" fontId="48" fillId="0" borderId="8" xfId="0" applyFont="1" applyBorder="1" applyAlignment="1">
      <alignment horizontal="center" vertical="top" wrapText="1"/>
    </xf>
    <xf numFmtId="0" fontId="39" fillId="0" borderId="8" xfId="0" applyFont="1" applyBorder="1" applyAlignment="1">
      <alignment horizontal="center" vertical="top" wrapText="1"/>
    </xf>
    <xf numFmtId="0" fontId="42" fillId="0" borderId="8" xfId="0" applyFont="1" applyBorder="1" applyAlignment="1">
      <alignment horizontal="center" vertical="top" wrapText="1"/>
    </xf>
    <xf numFmtId="0" fontId="49" fillId="0" borderId="8" xfId="0" applyFont="1" applyBorder="1" applyAlignment="1">
      <alignment horizontal="center" vertical="top" wrapText="1"/>
    </xf>
    <xf numFmtId="0" fontId="51" fillId="0" borderId="8" xfId="0" applyFont="1" applyBorder="1" applyAlignment="1">
      <alignment horizontal="center" vertical="top" wrapText="1"/>
    </xf>
    <xf numFmtId="0" fontId="41" fillId="0" borderId="8" xfId="0" applyFont="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1E7B34"/>
      <rgbColor rgb="FF000080"/>
      <rgbColor rgb="FF7F6000"/>
      <rgbColor rgb="FF800080"/>
      <rgbColor rgb="FF0F6E56"/>
      <rgbColor rgb="FFBFBFBF"/>
      <rgbColor rgb="FF888888"/>
      <rgbColor rgb="FFD9E1F2"/>
      <rgbColor rgb="FF993356"/>
      <rgbColor rgb="FFFFF2CC"/>
      <rgbColor rgb="FFE2EFDA"/>
      <rgbColor rgb="FF660066"/>
      <rgbColor rgb="FFFF8080"/>
      <rgbColor rgb="FF185FA5"/>
      <rgbColor rgb="FFCCCCCC"/>
      <rgbColor rgb="FF000080"/>
      <rgbColor rgb="FFFF00FF"/>
      <rgbColor rgb="FFFFFF00"/>
      <rgbColor rgb="FF00FFFF"/>
      <rgbColor rgb="FF800080"/>
      <rgbColor rgb="FF854F0B"/>
      <rgbColor rgb="FF008080"/>
      <rgbColor rgb="FF0000FF"/>
      <rgbColor rgb="FF00B0F0"/>
      <rgbColor rgb="FFDCE6F1"/>
      <rgbColor rgb="FFD9EAD3"/>
      <rgbColor rgb="FFF2F2F2"/>
      <rgbColor rgb="FFD6E4F0"/>
      <rgbColor rgb="FFD9D9D9"/>
      <rgbColor rgb="FFEAD1F7"/>
      <rgbColor rgb="FFFADADD"/>
      <rgbColor rgb="FF2E75B6"/>
      <rgbColor rgb="FF33CCCC"/>
      <rgbColor rgb="FF92D050"/>
      <rgbColor rgb="FFFFC000"/>
      <rgbColor rgb="FFFF9900"/>
      <rgbColor rgb="FFFF6600"/>
      <rgbColor rgb="FF595959"/>
      <rgbColor rgb="FFA6A6A6"/>
      <rgbColor rgb="FF1F3864"/>
      <rgbColor rgb="FF4F81BD"/>
      <rgbColor rgb="FF141413"/>
      <rgbColor rgb="FF375623"/>
      <rgbColor rgb="FF833C00"/>
      <rgbColor rgb="FF7030A0"/>
      <rgbColor rgb="FF333399"/>
      <rgbColor rgb="FF3D3D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V198"/>
  <sheetViews>
    <sheetView tabSelected="1" zoomScale="67" zoomScaleNormal="67" workbookViewId="0">
      <pane ySplit="3" topLeftCell="A43" activePane="bottomLeft" state="frozen"/>
      <selection pane="bottomLeft" activeCell="R51" sqref="R51"/>
    </sheetView>
  </sheetViews>
  <sheetFormatPr defaultColWidth="8.6328125" defaultRowHeight="14.5" x14ac:dyDescent="0.35"/>
  <cols>
    <col min="1" max="1" width="6.90625" customWidth="1"/>
    <col min="2" max="2" width="6" customWidth="1"/>
    <col min="3" max="3" width="32" customWidth="1"/>
    <col min="4" max="4" width="6" customWidth="1"/>
    <col min="5" max="5" width="9" customWidth="1"/>
    <col min="6" max="6" width="18" customWidth="1"/>
    <col min="7" max="7" width="16" customWidth="1"/>
    <col min="8" max="8" width="12" customWidth="1"/>
    <col min="9" max="9" width="38" customWidth="1"/>
    <col min="10" max="13" width="9" customWidth="1"/>
    <col min="14" max="14" width="22" customWidth="1"/>
    <col min="15" max="15" width="18" customWidth="1"/>
    <col min="16" max="16" width="6" customWidth="1"/>
    <col min="17" max="17" width="8" customWidth="1"/>
    <col min="18" max="20" width="28" customWidth="1"/>
    <col min="21" max="21" width="22" customWidth="1"/>
    <col min="22" max="22" width="50" customWidth="1"/>
  </cols>
  <sheetData>
    <row r="1" spans="1:22" ht="21.75" customHeight="1" x14ac:dyDescent="0.35">
      <c r="A1" s="139" t="s">
        <v>15</v>
      </c>
      <c r="B1" s="138"/>
      <c r="C1" s="138"/>
      <c r="D1" s="138"/>
      <c r="E1" s="138"/>
      <c r="F1" s="138"/>
      <c r="G1" s="138"/>
      <c r="H1" s="138"/>
      <c r="I1" s="138"/>
      <c r="J1" s="138"/>
      <c r="K1" s="138"/>
      <c r="L1" s="138"/>
      <c r="M1" s="138"/>
      <c r="N1" s="138"/>
      <c r="O1" s="138"/>
      <c r="P1" s="138"/>
      <c r="Q1" s="138"/>
      <c r="R1" s="138"/>
    </row>
    <row r="2" spans="1:22" ht="15" customHeight="1" x14ac:dyDescent="0.35">
      <c r="A2" s="137" t="s">
        <v>16</v>
      </c>
      <c r="B2" s="138"/>
      <c r="C2" s="138"/>
      <c r="D2" s="138"/>
      <c r="E2" s="138"/>
      <c r="F2" s="138"/>
      <c r="G2" s="138"/>
      <c r="H2" s="138"/>
      <c r="I2" s="138"/>
      <c r="J2" s="138"/>
      <c r="K2" s="138"/>
      <c r="L2" s="138"/>
      <c r="M2" s="138"/>
      <c r="N2" s="138"/>
      <c r="O2" s="138"/>
      <c r="P2" s="138"/>
      <c r="Q2" s="138"/>
      <c r="R2" s="138"/>
    </row>
    <row r="3" spans="1:22" ht="30" customHeight="1" x14ac:dyDescent="0.35">
      <c r="A3" s="2" t="s">
        <v>17</v>
      </c>
      <c r="B3" s="2" t="s">
        <v>18</v>
      </c>
      <c r="C3" s="2" t="s">
        <v>19</v>
      </c>
      <c r="D3" s="2" t="s">
        <v>20</v>
      </c>
      <c r="E3" s="2" t="s">
        <v>21</v>
      </c>
      <c r="F3" s="2" t="s">
        <v>22</v>
      </c>
      <c r="G3" s="2" t="s">
        <v>23</v>
      </c>
      <c r="H3" s="2" t="s">
        <v>24</v>
      </c>
      <c r="I3" s="2" t="s">
        <v>25</v>
      </c>
      <c r="J3" s="2" t="s">
        <v>26</v>
      </c>
      <c r="K3" s="2" t="s">
        <v>27</v>
      </c>
      <c r="L3" s="2" t="s">
        <v>28</v>
      </c>
      <c r="M3" s="2" t="s">
        <v>29</v>
      </c>
      <c r="N3" s="2" t="s">
        <v>30</v>
      </c>
      <c r="O3" s="2" t="s">
        <v>31</v>
      </c>
      <c r="P3" s="2" t="s">
        <v>32</v>
      </c>
      <c r="Q3" s="2" t="s">
        <v>33</v>
      </c>
      <c r="R3" s="2" t="s">
        <v>34</v>
      </c>
      <c r="S3" s="2" t="s">
        <v>35</v>
      </c>
      <c r="T3" s="2" t="s">
        <v>36</v>
      </c>
      <c r="U3" s="2" t="s">
        <v>37</v>
      </c>
      <c r="V3" s="2" t="s">
        <v>38</v>
      </c>
    </row>
    <row r="4" spans="1:22" ht="49.5" customHeight="1" x14ac:dyDescent="0.35">
      <c r="A4" s="3">
        <v>1</v>
      </c>
      <c r="B4" s="4" t="s">
        <v>39</v>
      </c>
      <c r="C4" s="5" t="s">
        <v>40</v>
      </c>
      <c r="D4" s="6" t="s">
        <v>41</v>
      </c>
      <c r="E4" s="6" t="s">
        <v>42</v>
      </c>
      <c r="F4" s="7" t="s">
        <v>43</v>
      </c>
      <c r="G4" s="8" t="s">
        <v>44</v>
      </c>
      <c r="H4" s="9" t="s">
        <v>45</v>
      </c>
      <c r="I4" s="9" t="s">
        <v>46</v>
      </c>
      <c r="J4" s="5" t="s">
        <v>47</v>
      </c>
      <c r="K4" s="5"/>
      <c r="L4" s="5"/>
      <c r="M4" s="5" t="s">
        <v>48</v>
      </c>
      <c r="N4" s="5"/>
      <c r="O4" s="5"/>
      <c r="P4" s="6" t="s">
        <v>49</v>
      </c>
      <c r="Q4" s="10" t="s">
        <v>50</v>
      </c>
      <c r="R4" s="5"/>
      <c r="U4" t="s">
        <v>51</v>
      </c>
    </row>
    <row r="5" spans="1:22" ht="49.5" customHeight="1" x14ac:dyDescent="0.35">
      <c r="A5" s="3">
        <v>2</v>
      </c>
      <c r="B5" s="4" t="s">
        <v>39</v>
      </c>
      <c r="C5" s="5" t="s">
        <v>40</v>
      </c>
      <c r="D5" s="6" t="s">
        <v>41</v>
      </c>
      <c r="E5" s="6" t="s">
        <v>42</v>
      </c>
      <c r="F5" s="7" t="s">
        <v>43</v>
      </c>
      <c r="G5" s="8" t="s">
        <v>44</v>
      </c>
      <c r="H5" s="9" t="s">
        <v>45</v>
      </c>
      <c r="I5" s="9" t="s">
        <v>52</v>
      </c>
      <c r="J5" s="5" t="s">
        <v>53</v>
      </c>
      <c r="K5" s="5"/>
      <c r="L5" s="5"/>
      <c r="M5" s="5"/>
      <c r="N5" s="5"/>
      <c r="O5" s="5"/>
      <c r="P5" s="6" t="s">
        <v>49</v>
      </c>
      <c r="Q5" s="10" t="s">
        <v>50</v>
      </c>
      <c r="R5" s="5"/>
      <c r="U5" t="s">
        <v>51</v>
      </c>
    </row>
    <row r="6" spans="1:22" ht="49.5" customHeight="1" x14ac:dyDescent="0.35">
      <c r="A6" s="3">
        <v>3</v>
      </c>
      <c r="B6" s="4" t="s">
        <v>39</v>
      </c>
      <c r="C6" s="5" t="s">
        <v>40</v>
      </c>
      <c r="D6" s="6" t="s">
        <v>41</v>
      </c>
      <c r="E6" s="6" t="s">
        <v>42</v>
      </c>
      <c r="F6" s="7" t="s">
        <v>43</v>
      </c>
      <c r="G6" s="8" t="s">
        <v>44</v>
      </c>
      <c r="H6" s="9" t="s">
        <v>54</v>
      </c>
      <c r="I6" s="5" t="s">
        <v>55</v>
      </c>
      <c r="J6" s="5" t="s">
        <v>56</v>
      </c>
      <c r="K6" s="5"/>
      <c r="L6" s="5"/>
      <c r="M6" s="5" t="s">
        <v>48</v>
      </c>
      <c r="N6" s="5"/>
      <c r="O6" s="5"/>
      <c r="P6" s="6" t="s">
        <v>49</v>
      </c>
      <c r="Q6" s="10" t="s">
        <v>50</v>
      </c>
      <c r="R6" s="5"/>
      <c r="U6" t="s">
        <v>51</v>
      </c>
    </row>
    <row r="7" spans="1:22" ht="49.5" customHeight="1" x14ac:dyDescent="0.35">
      <c r="A7" s="3">
        <v>4</v>
      </c>
      <c r="B7" s="4" t="s">
        <v>39</v>
      </c>
      <c r="C7" s="5" t="s">
        <v>40</v>
      </c>
      <c r="D7" s="6" t="s">
        <v>41</v>
      </c>
      <c r="E7" s="6" t="s">
        <v>42</v>
      </c>
      <c r="F7" s="7" t="s">
        <v>43</v>
      </c>
      <c r="G7" s="8" t="s">
        <v>44</v>
      </c>
      <c r="H7" s="5" t="s">
        <v>57</v>
      </c>
      <c r="I7" s="5" t="s">
        <v>58</v>
      </c>
      <c r="J7" s="5" t="s">
        <v>48</v>
      </c>
      <c r="K7" s="5" t="s">
        <v>59</v>
      </c>
      <c r="L7" s="5"/>
      <c r="M7" s="5"/>
      <c r="N7" s="5"/>
      <c r="O7" s="5"/>
      <c r="P7" s="6" t="s">
        <v>49</v>
      </c>
      <c r="Q7" s="10" t="s">
        <v>50</v>
      </c>
      <c r="R7" s="5" t="s">
        <v>60</v>
      </c>
      <c r="U7" t="s">
        <v>51</v>
      </c>
    </row>
    <row r="8" spans="1:22" ht="49.5" customHeight="1" x14ac:dyDescent="0.35">
      <c r="A8" s="3">
        <v>5</v>
      </c>
      <c r="B8" s="4" t="s">
        <v>39</v>
      </c>
      <c r="C8" s="5" t="s">
        <v>40</v>
      </c>
      <c r="D8" s="6" t="s">
        <v>41</v>
      </c>
      <c r="E8" s="6" t="s">
        <v>42</v>
      </c>
      <c r="F8" s="7" t="s">
        <v>43</v>
      </c>
      <c r="G8" s="8" t="s">
        <v>44</v>
      </c>
      <c r="H8" s="5" t="s">
        <v>61</v>
      </c>
      <c r="I8" s="5" t="s">
        <v>62</v>
      </c>
      <c r="J8" s="5" t="s">
        <v>59</v>
      </c>
      <c r="K8" s="5" t="s">
        <v>63</v>
      </c>
      <c r="L8" s="5"/>
      <c r="M8" s="5"/>
      <c r="N8" s="5"/>
      <c r="O8" s="5"/>
      <c r="P8" s="6" t="s">
        <v>49</v>
      </c>
      <c r="Q8" s="10" t="s">
        <v>50</v>
      </c>
      <c r="R8" s="5"/>
      <c r="U8" t="s">
        <v>51</v>
      </c>
    </row>
    <row r="9" spans="1:22" ht="49.5" customHeight="1" x14ac:dyDescent="0.35">
      <c r="A9" s="3">
        <v>6</v>
      </c>
      <c r="B9" s="4" t="s">
        <v>39</v>
      </c>
      <c r="C9" s="5" t="s">
        <v>40</v>
      </c>
      <c r="D9" s="6" t="s">
        <v>41</v>
      </c>
      <c r="E9" s="6" t="s">
        <v>42</v>
      </c>
      <c r="F9" s="7" t="s">
        <v>43</v>
      </c>
      <c r="G9" s="8" t="s">
        <v>44</v>
      </c>
      <c r="H9" s="5" t="s">
        <v>61</v>
      </c>
      <c r="I9" s="5" t="s">
        <v>64</v>
      </c>
      <c r="J9" s="5" t="s">
        <v>56</v>
      </c>
      <c r="K9" s="5"/>
      <c r="L9" s="5"/>
      <c r="M9" s="5" t="s">
        <v>48</v>
      </c>
      <c r="N9" s="5"/>
      <c r="O9" s="5"/>
      <c r="P9" s="6" t="s">
        <v>49</v>
      </c>
      <c r="Q9" s="10" t="s">
        <v>50</v>
      </c>
      <c r="R9" s="5"/>
      <c r="U9" t="s">
        <v>51</v>
      </c>
    </row>
    <row r="10" spans="1:22" ht="49.5" customHeight="1" x14ac:dyDescent="0.35">
      <c r="A10" s="3">
        <v>7</v>
      </c>
      <c r="B10" s="4" t="s">
        <v>39</v>
      </c>
      <c r="C10" s="5" t="s">
        <v>40</v>
      </c>
      <c r="D10" s="6" t="s">
        <v>41</v>
      </c>
      <c r="E10" s="6" t="s">
        <v>42</v>
      </c>
      <c r="F10" s="7" t="s">
        <v>43</v>
      </c>
      <c r="G10" s="8" t="s">
        <v>44</v>
      </c>
      <c r="H10" s="5" t="s">
        <v>65</v>
      </c>
      <c r="I10" s="5" t="s">
        <v>66</v>
      </c>
      <c r="J10" s="5" t="s">
        <v>67</v>
      </c>
      <c r="K10" s="5"/>
      <c r="L10" s="5"/>
      <c r="M10" s="5"/>
      <c r="N10" s="5"/>
      <c r="O10" s="5"/>
      <c r="P10" s="6" t="s">
        <v>49</v>
      </c>
      <c r="Q10" s="10" t="s">
        <v>50</v>
      </c>
      <c r="R10" s="5" t="s">
        <v>68</v>
      </c>
      <c r="U10" t="s">
        <v>51</v>
      </c>
    </row>
    <row r="11" spans="1:22" ht="49.5" customHeight="1" x14ac:dyDescent="0.35">
      <c r="A11" s="1">
        <v>8</v>
      </c>
      <c r="B11" s="11" t="s">
        <v>69</v>
      </c>
      <c r="C11" s="12" t="s">
        <v>70</v>
      </c>
      <c r="D11" s="13" t="s">
        <v>71</v>
      </c>
      <c r="E11" s="13" t="s">
        <v>72</v>
      </c>
      <c r="F11" s="14" t="s">
        <v>73</v>
      </c>
      <c r="G11" s="15" t="s">
        <v>44</v>
      </c>
      <c r="H11" s="12" t="s">
        <v>74</v>
      </c>
      <c r="I11" s="12" t="s">
        <v>75</v>
      </c>
      <c r="J11" s="12" t="s">
        <v>47</v>
      </c>
      <c r="K11" s="12"/>
      <c r="L11" s="12"/>
      <c r="M11" s="12"/>
      <c r="N11" s="12" t="s">
        <v>76</v>
      </c>
      <c r="O11" s="12"/>
      <c r="P11" s="13" t="s">
        <v>49</v>
      </c>
      <c r="Q11" s="16" t="s">
        <v>77</v>
      </c>
      <c r="R11" s="12" t="s">
        <v>76</v>
      </c>
      <c r="U11" t="s">
        <v>78</v>
      </c>
    </row>
    <row r="12" spans="1:22" ht="49.5" customHeight="1" x14ac:dyDescent="0.35">
      <c r="A12" s="1">
        <v>9</v>
      </c>
      <c r="B12" s="11" t="s">
        <v>69</v>
      </c>
      <c r="C12" s="12" t="s">
        <v>70</v>
      </c>
      <c r="D12" s="13" t="s">
        <v>71</v>
      </c>
      <c r="E12" s="13" t="s">
        <v>72</v>
      </c>
      <c r="F12" s="14" t="s">
        <v>73</v>
      </c>
      <c r="G12" s="15" t="s">
        <v>44</v>
      </c>
      <c r="H12" s="12" t="s">
        <v>79</v>
      </c>
      <c r="I12" s="12" t="s">
        <v>80</v>
      </c>
      <c r="J12" s="12" t="s">
        <v>63</v>
      </c>
      <c r="K12" s="12"/>
      <c r="L12" s="12"/>
      <c r="M12" s="12" t="s">
        <v>81</v>
      </c>
      <c r="N12" s="12" t="s">
        <v>76</v>
      </c>
      <c r="O12" s="12"/>
      <c r="P12" s="13" t="s">
        <v>49</v>
      </c>
      <c r="Q12" s="16"/>
      <c r="R12" s="12" t="s">
        <v>76</v>
      </c>
    </row>
    <row r="13" spans="1:22" ht="49.5" customHeight="1" x14ac:dyDescent="0.35">
      <c r="A13" s="1">
        <v>10</v>
      </c>
      <c r="B13" s="11" t="s">
        <v>69</v>
      </c>
      <c r="C13" s="12" t="s">
        <v>70</v>
      </c>
      <c r="D13" s="13" t="s">
        <v>71</v>
      </c>
      <c r="E13" s="13" t="s">
        <v>72</v>
      </c>
      <c r="F13" s="14" t="s">
        <v>73</v>
      </c>
      <c r="G13" s="15" t="s">
        <v>44</v>
      </c>
      <c r="H13" s="9" t="s">
        <v>79</v>
      </c>
      <c r="I13" s="12" t="s">
        <v>82</v>
      </c>
      <c r="J13" s="12" t="s">
        <v>48</v>
      </c>
      <c r="K13" s="12"/>
      <c r="L13" s="12"/>
      <c r="M13" s="12"/>
      <c r="N13" s="12" t="s">
        <v>83</v>
      </c>
      <c r="O13" s="12"/>
      <c r="P13" s="13" t="s">
        <v>84</v>
      </c>
      <c r="Q13" s="16"/>
      <c r="R13" s="9" t="s">
        <v>85</v>
      </c>
    </row>
    <row r="14" spans="1:22" ht="49.5" customHeight="1" x14ac:dyDescent="0.35">
      <c r="A14" s="1">
        <v>11</v>
      </c>
      <c r="B14" s="11" t="s">
        <v>69</v>
      </c>
      <c r="C14" s="12" t="s">
        <v>70</v>
      </c>
      <c r="D14" s="13" t="s">
        <v>71</v>
      </c>
      <c r="E14" s="13" t="s">
        <v>72</v>
      </c>
      <c r="F14" s="14" t="s">
        <v>73</v>
      </c>
      <c r="G14" s="15" t="s">
        <v>44</v>
      </c>
      <c r="H14" s="9" t="s">
        <v>79</v>
      </c>
      <c r="I14" s="12" t="s">
        <v>86</v>
      </c>
      <c r="J14" s="12" t="s">
        <v>56</v>
      </c>
      <c r="K14" s="12"/>
      <c r="L14" s="12"/>
      <c r="M14" s="12"/>
      <c r="N14" s="12" t="s">
        <v>83</v>
      </c>
      <c r="O14" s="12"/>
      <c r="P14" s="13" t="s">
        <v>49</v>
      </c>
      <c r="Q14" s="16"/>
      <c r="R14" s="12" t="s">
        <v>87</v>
      </c>
    </row>
    <row r="15" spans="1:22" ht="49.5" customHeight="1" x14ac:dyDescent="0.35">
      <c r="A15" s="1">
        <v>12</v>
      </c>
      <c r="B15" s="11" t="s">
        <v>69</v>
      </c>
      <c r="C15" s="12" t="s">
        <v>70</v>
      </c>
      <c r="D15" s="13" t="s">
        <v>71</v>
      </c>
      <c r="E15" s="13" t="s">
        <v>72</v>
      </c>
      <c r="F15" s="14" t="s">
        <v>73</v>
      </c>
      <c r="G15" s="15" t="s">
        <v>44</v>
      </c>
      <c r="H15" s="9" t="s">
        <v>79</v>
      </c>
      <c r="I15" s="12" t="s">
        <v>88</v>
      </c>
      <c r="J15" s="12" t="s">
        <v>53</v>
      </c>
      <c r="K15" s="12"/>
      <c r="L15" s="12"/>
      <c r="M15" s="12" t="s">
        <v>48</v>
      </c>
      <c r="N15" s="12" t="s">
        <v>76</v>
      </c>
      <c r="O15" s="12"/>
      <c r="P15" s="13" t="s">
        <v>49</v>
      </c>
      <c r="Q15" s="16"/>
      <c r="R15" s="12" t="s">
        <v>76</v>
      </c>
    </row>
    <row r="16" spans="1:22" ht="49.5" customHeight="1" x14ac:dyDescent="0.35">
      <c r="A16" s="1">
        <v>13</v>
      </c>
      <c r="B16" s="11" t="s">
        <v>69</v>
      </c>
      <c r="C16" s="12" t="s">
        <v>70</v>
      </c>
      <c r="D16" s="13" t="s">
        <v>71</v>
      </c>
      <c r="E16" s="13" t="s">
        <v>72</v>
      </c>
      <c r="F16" s="14" t="s">
        <v>73</v>
      </c>
      <c r="G16" s="15" t="s">
        <v>44</v>
      </c>
      <c r="H16" s="9" t="s">
        <v>89</v>
      </c>
      <c r="I16" s="12" t="s">
        <v>90</v>
      </c>
      <c r="J16" s="12" t="s">
        <v>91</v>
      </c>
      <c r="K16" s="12"/>
      <c r="L16" s="12"/>
      <c r="M16" s="12" t="s">
        <v>81</v>
      </c>
      <c r="N16" s="12" t="s">
        <v>76</v>
      </c>
      <c r="O16" s="12"/>
      <c r="P16" s="13" t="s">
        <v>49</v>
      </c>
      <c r="Q16" s="16"/>
      <c r="R16" s="12" t="s">
        <v>76</v>
      </c>
    </row>
    <row r="17" spans="1:21" ht="49.5" customHeight="1" x14ac:dyDescent="0.35">
      <c r="A17" s="3">
        <v>14</v>
      </c>
      <c r="B17" s="4" t="s">
        <v>92</v>
      </c>
      <c r="C17" s="5" t="s">
        <v>93</v>
      </c>
      <c r="D17" s="6" t="s">
        <v>94</v>
      </c>
      <c r="E17" s="6" t="s">
        <v>95</v>
      </c>
      <c r="F17" s="7" t="s">
        <v>96</v>
      </c>
      <c r="G17" s="8" t="s">
        <v>44</v>
      </c>
      <c r="H17" s="5" t="s">
        <v>97</v>
      </c>
      <c r="I17" s="5" t="s">
        <v>98</v>
      </c>
      <c r="J17" s="5" t="s">
        <v>99</v>
      </c>
      <c r="K17" s="5"/>
      <c r="L17" s="5"/>
      <c r="M17" s="5"/>
      <c r="N17" s="12" t="s">
        <v>76</v>
      </c>
      <c r="O17" s="5"/>
      <c r="P17" s="6" t="s">
        <v>49</v>
      </c>
      <c r="Q17" s="17" t="s">
        <v>77</v>
      </c>
      <c r="R17" s="5" t="s">
        <v>100</v>
      </c>
      <c r="U17" t="s">
        <v>78</v>
      </c>
    </row>
    <row r="18" spans="1:21" ht="49.5" customHeight="1" x14ac:dyDescent="0.35">
      <c r="A18" s="3">
        <v>15</v>
      </c>
      <c r="B18" s="4" t="s">
        <v>92</v>
      </c>
      <c r="C18" s="5" t="s">
        <v>93</v>
      </c>
      <c r="D18" s="18">
        <v>2023</v>
      </c>
      <c r="E18" s="6" t="s">
        <v>95</v>
      </c>
      <c r="F18" s="7" t="s">
        <v>96</v>
      </c>
      <c r="G18" s="8" t="s">
        <v>44</v>
      </c>
      <c r="H18" s="5" t="s">
        <v>101</v>
      </c>
      <c r="I18" s="5" t="s">
        <v>102</v>
      </c>
      <c r="J18" s="5" t="s">
        <v>99</v>
      </c>
      <c r="K18" s="5"/>
      <c r="L18" s="5"/>
      <c r="M18" s="5"/>
      <c r="N18" s="12" t="s">
        <v>76</v>
      </c>
      <c r="O18" s="5"/>
      <c r="P18" s="6" t="s">
        <v>49</v>
      </c>
      <c r="Q18" s="17"/>
      <c r="R18" s="5" t="s">
        <v>103</v>
      </c>
    </row>
    <row r="19" spans="1:21" ht="49.5" customHeight="1" x14ac:dyDescent="0.35">
      <c r="A19" s="3">
        <v>16</v>
      </c>
      <c r="B19" s="4" t="s">
        <v>92</v>
      </c>
      <c r="C19" s="5" t="s">
        <v>93</v>
      </c>
      <c r="D19" s="18">
        <v>2023</v>
      </c>
      <c r="E19" s="6" t="s">
        <v>95</v>
      </c>
      <c r="F19" s="7" t="s">
        <v>96</v>
      </c>
      <c r="G19" s="8" t="s">
        <v>44</v>
      </c>
      <c r="H19" s="5" t="s">
        <v>104</v>
      </c>
      <c r="I19" s="5" t="s">
        <v>105</v>
      </c>
      <c r="J19" s="5" t="s">
        <v>106</v>
      </c>
      <c r="K19" s="5"/>
      <c r="L19" s="5"/>
      <c r="M19" s="5"/>
      <c r="N19" s="5" t="s">
        <v>83</v>
      </c>
      <c r="O19" s="5"/>
      <c r="P19" s="6" t="s">
        <v>49</v>
      </c>
      <c r="Q19" s="17"/>
      <c r="R19" s="5" t="s">
        <v>107</v>
      </c>
    </row>
    <row r="20" spans="1:21" ht="49.5" customHeight="1" x14ac:dyDescent="0.35">
      <c r="A20" s="3">
        <v>17</v>
      </c>
      <c r="B20" s="4" t="s">
        <v>92</v>
      </c>
      <c r="C20" s="5" t="s">
        <v>93</v>
      </c>
      <c r="D20" s="18">
        <v>2023</v>
      </c>
      <c r="E20" s="6" t="s">
        <v>95</v>
      </c>
      <c r="F20" s="7" t="s">
        <v>96</v>
      </c>
      <c r="G20" s="8" t="s">
        <v>44</v>
      </c>
      <c r="H20" s="5" t="s">
        <v>108</v>
      </c>
      <c r="I20" s="5" t="s">
        <v>109</v>
      </c>
      <c r="J20" s="5" t="s">
        <v>99</v>
      </c>
      <c r="K20" s="5"/>
      <c r="L20" s="5"/>
      <c r="M20" s="5"/>
      <c r="N20" s="5" t="s">
        <v>83</v>
      </c>
      <c r="O20" s="5"/>
      <c r="P20" s="6" t="s">
        <v>49</v>
      </c>
      <c r="Q20" s="17"/>
      <c r="R20" s="5" t="s">
        <v>110</v>
      </c>
    </row>
    <row r="21" spans="1:21" ht="49.5" customHeight="1" x14ac:dyDescent="0.35">
      <c r="A21" s="3">
        <v>18</v>
      </c>
      <c r="B21" s="4" t="s">
        <v>92</v>
      </c>
      <c r="C21" s="5" t="s">
        <v>93</v>
      </c>
      <c r="D21" s="18">
        <v>2023</v>
      </c>
      <c r="E21" s="6" t="s">
        <v>95</v>
      </c>
      <c r="F21" s="7" t="s">
        <v>96</v>
      </c>
      <c r="G21" s="8" t="s">
        <v>44</v>
      </c>
      <c r="H21" s="5" t="s">
        <v>111</v>
      </c>
      <c r="I21" s="5" t="s">
        <v>112</v>
      </c>
      <c r="J21" s="5" t="s">
        <v>113</v>
      </c>
      <c r="K21" s="5"/>
      <c r="L21" s="5"/>
      <c r="M21" s="5"/>
      <c r="N21" s="5" t="s">
        <v>76</v>
      </c>
      <c r="O21" s="5"/>
      <c r="P21" s="6" t="s">
        <v>84</v>
      </c>
      <c r="Q21" s="17"/>
      <c r="R21" s="19" t="s">
        <v>114</v>
      </c>
    </row>
    <row r="22" spans="1:21" ht="49.5" customHeight="1" x14ac:dyDescent="0.35">
      <c r="A22" s="1">
        <v>19</v>
      </c>
      <c r="B22" s="11" t="s">
        <v>115</v>
      </c>
      <c r="C22" s="12" t="s">
        <v>116</v>
      </c>
      <c r="D22" s="13" t="s">
        <v>94</v>
      </c>
      <c r="E22" s="13" t="s">
        <v>117</v>
      </c>
      <c r="F22" s="14" t="s">
        <v>118</v>
      </c>
      <c r="G22" s="8" t="s">
        <v>44</v>
      </c>
      <c r="H22" s="15" t="s">
        <v>119</v>
      </c>
      <c r="I22" s="12" t="s">
        <v>120</v>
      </c>
      <c r="J22" s="12" t="s">
        <v>67</v>
      </c>
      <c r="K22" s="12" t="s">
        <v>113</v>
      </c>
      <c r="L22" s="12"/>
      <c r="M22" s="12"/>
      <c r="N22" s="12" t="s">
        <v>121</v>
      </c>
      <c r="O22" s="12"/>
      <c r="P22" s="13" t="s">
        <v>49</v>
      </c>
      <c r="Q22" s="16" t="s">
        <v>77</v>
      </c>
      <c r="R22" s="12" t="s">
        <v>122</v>
      </c>
      <c r="U22" t="s">
        <v>78</v>
      </c>
    </row>
    <row r="23" spans="1:21" ht="49.5" customHeight="1" x14ac:dyDescent="0.35">
      <c r="A23" s="1">
        <v>20</v>
      </c>
      <c r="B23" s="11">
        <v>16</v>
      </c>
      <c r="C23" s="12" t="s">
        <v>123</v>
      </c>
      <c r="D23" s="13" t="s">
        <v>124</v>
      </c>
      <c r="E23" s="13" t="s">
        <v>95</v>
      </c>
      <c r="F23" s="7" t="s">
        <v>125</v>
      </c>
      <c r="G23" s="8" t="s">
        <v>44</v>
      </c>
      <c r="H23" s="15" t="s">
        <v>119</v>
      </c>
      <c r="I23" s="12" t="s">
        <v>126</v>
      </c>
      <c r="J23" s="12" t="s">
        <v>113</v>
      </c>
      <c r="K23" s="12"/>
      <c r="L23" s="12"/>
      <c r="M23" s="12"/>
      <c r="N23" s="12" t="s">
        <v>76</v>
      </c>
      <c r="O23" s="12"/>
      <c r="P23" s="13" t="s">
        <v>49</v>
      </c>
      <c r="Q23" s="16"/>
      <c r="R23" s="12" t="s">
        <v>127</v>
      </c>
    </row>
    <row r="24" spans="1:21" ht="49.5" customHeight="1" x14ac:dyDescent="0.35">
      <c r="A24" s="1">
        <v>21</v>
      </c>
      <c r="B24" s="11">
        <v>16</v>
      </c>
      <c r="C24" s="12" t="s">
        <v>123</v>
      </c>
      <c r="D24" s="13" t="s">
        <v>124</v>
      </c>
      <c r="E24" s="13" t="s">
        <v>95</v>
      </c>
      <c r="F24" s="7" t="s">
        <v>125</v>
      </c>
      <c r="G24" s="8" t="s">
        <v>44</v>
      </c>
      <c r="H24" s="15" t="s">
        <v>119</v>
      </c>
      <c r="I24" s="12" t="s">
        <v>128</v>
      </c>
      <c r="J24" s="12" t="s">
        <v>113</v>
      </c>
      <c r="K24" s="12"/>
      <c r="L24" s="12"/>
      <c r="M24" s="12"/>
      <c r="N24" s="12" t="s">
        <v>76</v>
      </c>
      <c r="O24" s="12"/>
      <c r="P24" s="13" t="s">
        <v>49</v>
      </c>
      <c r="Q24" s="16"/>
      <c r="R24" s="12"/>
    </row>
    <row r="25" spans="1:21" ht="49.5" customHeight="1" x14ac:dyDescent="0.35">
      <c r="A25" s="1">
        <v>22</v>
      </c>
      <c r="B25" s="11">
        <v>16</v>
      </c>
      <c r="C25" s="12" t="s">
        <v>123</v>
      </c>
      <c r="D25" s="13" t="s">
        <v>124</v>
      </c>
      <c r="E25" s="13" t="s">
        <v>95</v>
      </c>
      <c r="F25" s="7" t="s">
        <v>125</v>
      </c>
      <c r="G25" s="8" t="s">
        <v>44</v>
      </c>
      <c r="H25" s="15" t="s">
        <v>119</v>
      </c>
      <c r="I25" s="12" t="s">
        <v>129</v>
      </c>
      <c r="J25" s="12" t="s">
        <v>99</v>
      </c>
      <c r="K25" s="12"/>
      <c r="L25" s="12"/>
      <c r="M25" s="12"/>
      <c r="N25" s="12" t="s">
        <v>130</v>
      </c>
      <c r="O25" s="12"/>
      <c r="P25" s="13" t="s">
        <v>49</v>
      </c>
      <c r="Q25" s="16" t="s">
        <v>77</v>
      </c>
      <c r="R25" s="12"/>
      <c r="U25" t="s">
        <v>78</v>
      </c>
    </row>
    <row r="26" spans="1:21" ht="49.5" customHeight="1" x14ac:dyDescent="0.35">
      <c r="A26" s="1">
        <v>23</v>
      </c>
      <c r="B26" s="11">
        <v>16</v>
      </c>
      <c r="C26" s="12" t="s">
        <v>123</v>
      </c>
      <c r="D26" s="13" t="s">
        <v>131</v>
      </c>
      <c r="E26" s="13" t="s">
        <v>95</v>
      </c>
      <c r="F26" s="7" t="s">
        <v>125</v>
      </c>
      <c r="G26" s="8" t="s">
        <v>44</v>
      </c>
      <c r="H26" s="15" t="s">
        <v>119</v>
      </c>
      <c r="I26" s="12" t="s">
        <v>132</v>
      </c>
      <c r="J26" s="12" t="s">
        <v>67</v>
      </c>
      <c r="K26" s="12" t="s">
        <v>133</v>
      </c>
      <c r="L26" s="12"/>
      <c r="M26" s="12"/>
      <c r="N26" s="12" t="s">
        <v>134</v>
      </c>
      <c r="O26" s="12"/>
      <c r="P26" s="13" t="s">
        <v>49</v>
      </c>
      <c r="Q26" s="16"/>
      <c r="R26" s="12" t="s">
        <v>135</v>
      </c>
    </row>
    <row r="27" spans="1:21" ht="49.5" customHeight="1" x14ac:dyDescent="0.35">
      <c r="A27" s="3">
        <v>24</v>
      </c>
      <c r="B27" s="4" t="s">
        <v>136</v>
      </c>
      <c r="C27" s="12" t="s">
        <v>123</v>
      </c>
      <c r="D27" s="13" t="s">
        <v>137</v>
      </c>
      <c r="E27" s="13" t="s">
        <v>95</v>
      </c>
      <c r="F27" s="7" t="s">
        <v>125</v>
      </c>
      <c r="G27" s="8" t="s">
        <v>44</v>
      </c>
      <c r="H27" s="15" t="s">
        <v>119</v>
      </c>
      <c r="I27" s="5" t="s">
        <v>138</v>
      </c>
      <c r="J27" s="5" t="s">
        <v>47</v>
      </c>
      <c r="K27" s="5"/>
      <c r="L27" s="5"/>
      <c r="M27" s="5"/>
      <c r="N27" s="12" t="s">
        <v>76</v>
      </c>
      <c r="O27" s="5"/>
      <c r="P27" s="6" t="s">
        <v>49</v>
      </c>
      <c r="Q27" s="10" t="s">
        <v>50</v>
      </c>
      <c r="R27" s="5"/>
      <c r="U27" t="s">
        <v>51</v>
      </c>
    </row>
    <row r="28" spans="1:21" ht="49.5" customHeight="1" x14ac:dyDescent="0.35">
      <c r="A28" s="20">
        <v>25</v>
      </c>
      <c r="B28" s="11">
        <v>16</v>
      </c>
      <c r="C28" s="12" t="s">
        <v>123</v>
      </c>
      <c r="D28" s="13" t="s">
        <v>139</v>
      </c>
      <c r="E28" s="13" t="s">
        <v>95</v>
      </c>
      <c r="F28" s="7" t="s">
        <v>125</v>
      </c>
      <c r="G28" s="8" t="s">
        <v>44</v>
      </c>
      <c r="H28" s="15" t="s">
        <v>119</v>
      </c>
      <c r="I28" s="12" t="s">
        <v>140</v>
      </c>
      <c r="J28" s="12" t="s">
        <v>141</v>
      </c>
      <c r="K28" s="12"/>
      <c r="L28" s="12"/>
      <c r="M28" s="12"/>
      <c r="N28" s="5" t="s">
        <v>76</v>
      </c>
      <c r="O28" s="12"/>
      <c r="P28" s="12" t="s">
        <v>49</v>
      </c>
      <c r="Q28" s="12"/>
      <c r="R28" s="12"/>
    </row>
    <row r="29" spans="1:21" ht="49.5" customHeight="1" x14ac:dyDescent="0.35">
      <c r="A29" s="21">
        <f>IF(I29&lt;&gt;"",ROW()-3,"")</f>
        <v>26</v>
      </c>
      <c r="B29" s="5">
        <v>42</v>
      </c>
      <c r="C29" s="5" t="s">
        <v>142</v>
      </c>
      <c r="D29" s="5" t="s">
        <v>143</v>
      </c>
      <c r="E29" s="5" t="s">
        <v>144</v>
      </c>
      <c r="F29" s="5" t="s">
        <v>145</v>
      </c>
      <c r="G29" s="5" t="s">
        <v>44</v>
      </c>
      <c r="H29" s="5" t="s">
        <v>146</v>
      </c>
      <c r="I29" s="5" t="s">
        <v>147</v>
      </c>
      <c r="J29" s="5" t="s">
        <v>47</v>
      </c>
      <c r="K29" s="5"/>
      <c r="L29" s="5"/>
      <c r="M29" s="5"/>
      <c r="N29" s="5" t="s">
        <v>148</v>
      </c>
      <c r="O29" s="5"/>
      <c r="P29" s="5" t="s">
        <v>49</v>
      </c>
      <c r="Q29" s="5" t="s">
        <v>50</v>
      </c>
      <c r="R29" s="5"/>
      <c r="U29" t="s">
        <v>51</v>
      </c>
    </row>
    <row r="30" spans="1:21" ht="49.5" customHeight="1" x14ac:dyDescent="0.35">
      <c r="A30" s="20">
        <f>IF(I30&lt;&gt;"",ROW()-3,"")</f>
        <v>27</v>
      </c>
      <c r="B30" s="12">
        <v>42</v>
      </c>
      <c r="C30" s="12" t="s">
        <v>142</v>
      </c>
      <c r="D30" s="12" t="s">
        <v>143</v>
      </c>
      <c r="E30" s="12" t="s">
        <v>144</v>
      </c>
      <c r="F30" s="12" t="s">
        <v>145</v>
      </c>
      <c r="G30" s="12" t="s">
        <v>44</v>
      </c>
      <c r="H30" s="12" t="s">
        <v>146</v>
      </c>
      <c r="I30" s="12" t="s">
        <v>149</v>
      </c>
      <c r="J30" s="12" t="s">
        <v>53</v>
      </c>
      <c r="K30" s="12"/>
      <c r="L30" s="12"/>
      <c r="M30" s="12"/>
      <c r="N30" s="12" t="s">
        <v>150</v>
      </c>
      <c r="O30" s="12"/>
      <c r="P30" s="12" t="s">
        <v>49</v>
      </c>
      <c r="Q30" s="12" t="s">
        <v>50</v>
      </c>
      <c r="R30" s="12"/>
      <c r="U30" t="s">
        <v>51</v>
      </c>
    </row>
    <row r="31" spans="1:21" ht="49.5" customHeight="1" x14ac:dyDescent="0.35">
      <c r="A31" s="21">
        <f>IF(I31&lt;&gt;"",ROW()-3,"")</f>
        <v>28</v>
      </c>
      <c r="B31" s="5">
        <v>42</v>
      </c>
      <c r="C31" s="5" t="s">
        <v>142</v>
      </c>
      <c r="D31" s="5" t="s">
        <v>143</v>
      </c>
      <c r="E31" s="5" t="s">
        <v>144</v>
      </c>
      <c r="F31" s="5" t="s">
        <v>145</v>
      </c>
      <c r="G31" s="5" t="s">
        <v>44</v>
      </c>
      <c r="H31" s="5" t="s">
        <v>151</v>
      </c>
      <c r="I31" s="5" t="s">
        <v>152</v>
      </c>
      <c r="J31" s="5" t="s">
        <v>153</v>
      </c>
      <c r="K31" s="5"/>
      <c r="L31" s="5"/>
      <c r="M31" s="5" t="s">
        <v>48</v>
      </c>
      <c r="N31" s="5" t="s">
        <v>154</v>
      </c>
      <c r="O31" s="5"/>
      <c r="P31" s="5" t="s">
        <v>49</v>
      </c>
      <c r="Q31" s="5" t="s">
        <v>50</v>
      </c>
      <c r="R31" s="5"/>
      <c r="U31" t="s">
        <v>51</v>
      </c>
    </row>
    <row r="32" spans="1:21" ht="49.5" customHeight="1" x14ac:dyDescent="0.35">
      <c r="A32" s="20">
        <f>IF(I32&lt;&gt;"",ROW()-3,"")</f>
        <v>29</v>
      </c>
      <c r="B32" s="12">
        <v>42</v>
      </c>
      <c r="C32" s="12" t="s">
        <v>142</v>
      </c>
      <c r="D32" s="12" t="s">
        <v>143</v>
      </c>
      <c r="E32" s="12" t="s">
        <v>144</v>
      </c>
      <c r="F32" s="12" t="s">
        <v>145</v>
      </c>
      <c r="G32" s="12" t="s">
        <v>44</v>
      </c>
      <c r="H32" s="12" t="s">
        <v>155</v>
      </c>
      <c r="I32" s="12" t="s">
        <v>156</v>
      </c>
      <c r="J32" s="12" t="s">
        <v>59</v>
      </c>
      <c r="K32" s="12" t="s">
        <v>67</v>
      </c>
      <c r="L32" s="12"/>
      <c r="M32" s="12"/>
      <c r="N32" s="12" t="s">
        <v>157</v>
      </c>
      <c r="O32" s="12" t="s">
        <v>158</v>
      </c>
      <c r="P32" s="12" t="s">
        <v>49</v>
      </c>
      <c r="Q32" s="12" t="s">
        <v>50</v>
      </c>
      <c r="R32" s="12"/>
      <c r="U32" t="s">
        <v>51</v>
      </c>
    </row>
    <row r="33" spans="1:22" ht="49.5" customHeight="1" x14ac:dyDescent="0.35">
      <c r="A33" s="21">
        <f>IF(I33&lt;&gt;"",ROW()-3,"")</f>
        <v>30</v>
      </c>
      <c r="B33" s="5">
        <v>42</v>
      </c>
      <c r="C33" s="5" t="s">
        <v>142</v>
      </c>
      <c r="D33" s="5" t="s">
        <v>143</v>
      </c>
      <c r="E33" s="5" t="s">
        <v>144</v>
      </c>
      <c r="F33" s="5" t="s">
        <v>145</v>
      </c>
      <c r="G33" s="5" t="s">
        <v>44</v>
      </c>
      <c r="H33" s="5" t="s">
        <v>159</v>
      </c>
      <c r="I33" s="5" t="s">
        <v>160</v>
      </c>
      <c r="J33" s="5" t="s">
        <v>91</v>
      </c>
      <c r="K33" s="5"/>
      <c r="L33" s="5"/>
      <c r="M33" s="5"/>
      <c r="N33" s="5" t="s">
        <v>161</v>
      </c>
      <c r="O33" s="5"/>
      <c r="P33" s="5" t="s">
        <v>49</v>
      </c>
      <c r="Q33" s="5" t="s">
        <v>50</v>
      </c>
      <c r="R33" s="5" t="s">
        <v>162</v>
      </c>
      <c r="U33" t="s">
        <v>51</v>
      </c>
    </row>
    <row r="34" spans="1:22" ht="49.5" customHeight="1" x14ac:dyDescent="0.35">
      <c r="A34" s="21">
        <v>31</v>
      </c>
      <c r="B34" s="5">
        <v>36</v>
      </c>
      <c r="C34" s="5" t="s">
        <v>163</v>
      </c>
      <c r="D34" s="5" t="s">
        <v>71</v>
      </c>
      <c r="E34" s="5" t="s">
        <v>144</v>
      </c>
      <c r="F34" s="5" t="s">
        <v>145</v>
      </c>
      <c r="G34" s="5" t="s">
        <v>44</v>
      </c>
      <c r="H34" s="5" t="s">
        <v>164</v>
      </c>
      <c r="I34" s="5" t="s">
        <v>165</v>
      </c>
      <c r="J34" s="5" t="s">
        <v>47</v>
      </c>
      <c r="K34" s="5"/>
      <c r="L34" s="5"/>
      <c r="M34" s="5"/>
      <c r="N34" s="5" t="s">
        <v>166</v>
      </c>
      <c r="O34" s="5"/>
      <c r="P34" s="5" t="s">
        <v>49</v>
      </c>
      <c r="Q34" s="5" t="s">
        <v>50</v>
      </c>
      <c r="R34" s="12" t="s">
        <v>167</v>
      </c>
      <c r="U34" t="s">
        <v>51</v>
      </c>
    </row>
    <row r="35" spans="1:22" ht="49.5" customHeight="1" x14ac:dyDescent="0.35">
      <c r="A35" s="22">
        <v>32</v>
      </c>
      <c r="B35" s="12">
        <v>36</v>
      </c>
      <c r="C35" s="12" t="s">
        <v>163</v>
      </c>
      <c r="D35" s="12" t="s">
        <v>71</v>
      </c>
      <c r="E35" s="12" t="s">
        <v>144</v>
      </c>
      <c r="F35" s="12" t="s">
        <v>145</v>
      </c>
      <c r="G35" s="12" t="s">
        <v>44</v>
      </c>
      <c r="H35" s="12" t="s">
        <v>168</v>
      </c>
      <c r="I35" s="12" t="s">
        <v>169</v>
      </c>
      <c r="J35" s="12" t="s">
        <v>56</v>
      </c>
      <c r="K35" s="12"/>
      <c r="L35" s="12"/>
      <c r="M35" s="12" t="s">
        <v>48</v>
      </c>
      <c r="N35" s="12" t="s">
        <v>170</v>
      </c>
      <c r="O35" s="12"/>
      <c r="P35" s="12" t="s">
        <v>49</v>
      </c>
      <c r="Q35" s="12" t="s">
        <v>50</v>
      </c>
      <c r="R35" s="12"/>
      <c r="U35" t="s">
        <v>51</v>
      </c>
    </row>
    <row r="36" spans="1:22" ht="49.5" customHeight="1" x14ac:dyDescent="0.35">
      <c r="A36" s="21">
        <v>33</v>
      </c>
      <c r="B36" s="5">
        <v>36</v>
      </c>
      <c r="C36" s="5" t="s">
        <v>163</v>
      </c>
      <c r="D36" s="5" t="s">
        <v>71</v>
      </c>
      <c r="E36" s="5" t="s">
        <v>144</v>
      </c>
      <c r="F36" s="5" t="s">
        <v>145</v>
      </c>
      <c r="G36" s="5" t="s">
        <v>44</v>
      </c>
      <c r="H36" s="5" t="s">
        <v>171</v>
      </c>
      <c r="I36" s="5" t="s">
        <v>172</v>
      </c>
      <c r="J36" s="5" t="s">
        <v>59</v>
      </c>
      <c r="K36" s="5"/>
      <c r="L36" s="5"/>
      <c r="M36" s="5"/>
      <c r="N36" s="5" t="s">
        <v>173</v>
      </c>
      <c r="O36" s="5"/>
      <c r="P36" s="5" t="s">
        <v>49</v>
      </c>
      <c r="Q36" s="5" t="s">
        <v>50</v>
      </c>
      <c r="R36" s="5"/>
      <c r="U36" t="s">
        <v>51</v>
      </c>
    </row>
    <row r="37" spans="1:22" ht="49.5" customHeight="1" x14ac:dyDescent="0.35">
      <c r="A37" s="23">
        <v>34</v>
      </c>
      <c r="B37" s="12">
        <v>36</v>
      </c>
      <c r="C37" s="12" t="s">
        <v>163</v>
      </c>
      <c r="D37" s="12" t="s">
        <v>71</v>
      </c>
      <c r="E37" s="12" t="s">
        <v>144</v>
      </c>
      <c r="F37" s="12" t="s">
        <v>145</v>
      </c>
      <c r="G37" s="12" t="s">
        <v>44</v>
      </c>
      <c r="H37" s="12" t="s">
        <v>174</v>
      </c>
      <c r="I37" s="12" t="s">
        <v>175</v>
      </c>
      <c r="J37" s="12" t="s">
        <v>176</v>
      </c>
      <c r="K37" s="12" t="s">
        <v>67</v>
      </c>
      <c r="L37" s="12"/>
      <c r="M37" s="12"/>
      <c r="N37" s="12" t="s">
        <v>177</v>
      </c>
      <c r="O37" s="12" t="s">
        <v>178</v>
      </c>
      <c r="P37" s="12" t="s">
        <v>49</v>
      </c>
      <c r="Q37" s="12" t="s">
        <v>50</v>
      </c>
      <c r="R37" s="12" t="s">
        <v>167</v>
      </c>
      <c r="U37" t="s">
        <v>51</v>
      </c>
    </row>
    <row r="38" spans="1:22" ht="49.5" customHeight="1" x14ac:dyDescent="0.35">
      <c r="A38" s="23">
        <v>35</v>
      </c>
      <c r="B38" s="5">
        <v>34</v>
      </c>
      <c r="C38" s="24" t="s">
        <v>179</v>
      </c>
      <c r="D38" s="9">
        <v>2019</v>
      </c>
      <c r="E38" s="9" t="s">
        <v>180</v>
      </c>
      <c r="F38" s="9" t="s">
        <v>181</v>
      </c>
      <c r="G38" s="12" t="s">
        <v>44</v>
      </c>
      <c r="H38" s="25" t="s">
        <v>182</v>
      </c>
      <c r="I38" s="25" t="s">
        <v>183</v>
      </c>
      <c r="J38" s="25" t="s">
        <v>47</v>
      </c>
      <c r="K38" s="26" t="s">
        <v>184</v>
      </c>
      <c r="L38" s="27" t="s">
        <v>48</v>
      </c>
      <c r="M38" s="5"/>
      <c r="N38" s="5" t="s">
        <v>185</v>
      </c>
      <c r="O38" s="5"/>
      <c r="P38" s="12" t="s">
        <v>49</v>
      </c>
      <c r="Q38" s="12" t="s">
        <v>50</v>
      </c>
      <c r="R38" s="5"/>
      <c r="U38" t="s">
        <v>51</v>
      </c>
    </row>
    <row r="39" spans="1:22" ht="49.5" customHeight="1" x14ac:dyDescent="0.35">
      <c r="A39" s="23">
        <v>36</v>
      </c>
      <c r="B39" s="5">
        <v>34</v>
      </c>
      <c r="C39" s="24" t="s">
        <v>179</v>
      </c>
      <c r="D39" s="9">
        <v>2019</v>
      </c>
      <c r="E39" s="9" t="s">
        <v>180</v>
      </c>
      <c r="F39" s="9" t="s">
        <v>181</v>
      </c>
      <c r="G39" s="12" t="s">
        <v>44</v>
      </c>
      <c r="H39" s="28" t="s">
        <v>186</v>
      </c>
      <c r="I39" s="28" t="s">
        <v>187</v>
      </c>
      <c r="J39" s="28" t="s">
        <v>56</v>
      </c>
      <c r="K39" s="29" t="s">
        <v>184</v>
      </c>
      <c r="L39" s="28" t="s">
        <v>184</v>
      </c>
      <c r="M39" s="12"/>
      <c r="N39" s="5" t="s">
        <v>188</v>
      </c>
      <c r="O39" s="12"/>
      <c r="P39" s="12" t="s">
        <v>49</v>
      </c>
      <c r="Q39" s="12" t="s">
        <v>50</v>
      </c>
      <c r="R39" s="12"/>
      <c r="U39" t="s">
        <v>51</v>
      </c>
    </row>
    <row r="40" spans="1:22" ht="49.5" customHeight="1" x14ac:dyDescent="0.35">
      <c r="A40" s="23">
        <v>37</v>
      </c>
      <c r="B40" s="5">
        <v>34</v>
      </c>
      <c r="C40" s="24" t="s">
        <v>179</v>
      </c>
      <c r="D40" s="9">
        <v>2019</v>
      </c>
      <c r="E40" s="9" t="s">
        <v>180</v>
      </c>
      <c r="F40" s="9" t="s">
        <v>181</v>
      </c>
      <c r="G40" s="12" t="s">
        <v>44</v>
      </c>
      <c r="H40" s="25" t="s">
        <v>189</v>
      </c>
      <c r="I40" s="25" t="s">
        <v>190</v>
      </c>
      <c r="J40" s="25" t="s">
        <v>56</v>
      </c>
      <c r="K40" s="26" t="s">
        <v>184</v>
      </c>
      <c r="L40" s="27" t="s">
        <v>48</v>
      </c>
      <c r="M40" s="5"/>
      <c r="N40" s="5" t="s">
        <v>191</v>
      </c>
      <c r="O40" s="5"/>
      <c r="P40" s="12" t="s">
        <v>49</v>
      </c>
      <c r="Q40" s="12" t="s">
        <v>50</v>
      </c>
      <c r="R40" s="5"/>
      <c r="U40" t="s">
        <v>51</v>
      </c>
    </row>
    <row r="41" spans="1:22" ht="49.5" customHeight="1" x14ac:dyDescent="0.35">
      <c r="A41" s="23">
        <v>38</v>
      </c>
      <c r="B41" s="5">
        <v>34</v>
      </c>
      <c r="C41" s="24" t="s">
        <v>179</v>
      </c>
      <c r="D41" s="9">
        <v>2019</v>
      </c>
      <c r="E41" s="9" t="s">
        <v>180</v>
      </c>
      <c r="F41" s="9" t="s">
        <v>181</v>
      </c>
      <c r="G41" s="12" t="s">
        <v>44</v>
      </c>
      <c r="H41" s="28" t="s">
        <v>192</v>
      </c>
      <c r="I41" s="28" t="s">
        <v>193</v>
      </c>
      <c r="J41" s="28" t="s">
        <v>59</v>
      </c>
      <c r="K41" s="29" t="s">
        <v>184</v>
      </c>
      <c r="L41" s="28" t="s">
        <v>184</v>
      </c>
      <c r="M41" s="12"/>
      <c r="N41" s="5" t="s">
        <v>194</v>
      </c>
      <c r="O41" s="12"/>
      <c r="P41" s="12" t="s">
        <v>49</v>
      </c>
      <c r="Q41" s="12" t="s">
        <v>50</v>
      </c>
      <c r="R41" s="12"/>
      <c r="U41" t="s">
        <v>51</v>
      </c>
    </row>
    <row r="42" spans="1:22" ht="49.5" customHeight="1" x14ac:dyDescent="0.35">
      <c r="A42" s="23">
        <v>39</v>
      </c>
      <c r="B42" s="5">
        <v>34</v>
      </c>
      <c r="C42" s="24" t="s">
        <v>179</v>
      </c>
      <c r="D42" s="9">
        <v>2019</v>
      </c>
      <c r="E42" s="9" t="s">
        <v>180</v>
      </c>
      <c r="F42" s="9" t="s">
        <v>181</v>
      </c>
      <c r="G42" s="12" t="s">
        <v>44</v>
      </c>
      <c r="H42" s="25" t="s">
        <v>195</v>
      </c>
      <c r="I42" s="25" t="s">
        <v>196</v>
      </c>
      <c r="J42" s="25" t="s">
        <v>56</v>
      </c>
      <c r="K42" s="26" t="s">
        <v>184</v>
      </c>
      <c r="L42" s="27" t="s">
        <v>48</v>
      </c>
      <c r="M42" s="5"/>
      <c r="N42" s="5" t="s">
        <v>197</v>
      </c>
      <c r="O42" s="5"/>
      <c r="P42" s="12" t="s">
        <v>49</v>
      </c>
      <c r="Q42" s="12" t="s">
        <v>50</v>
      </c>
      <c r="R42" s="5"/>
      <c r="U42" t="s">
        <v>51</v>
      </c>
    </row>
    <row r="43" spans="1:22" ht="49.5" customHeight="1" x14ac:dyDescent="0.35">
      <c r="A43" s="23">
        <v>40</v>
      </c>
      <c r="B43" s="5">
        <v>34</v>
      </c>
      <c r="C43" s="24" t="s">
        <v>179</v>
      </c>
      <c r="D43" s="9">
        <v>2019</v>
      </c>
      <c r="E43" s="9" t="s">
        <v>180</v>
      </c>
      <c r="F43" s="9" t="s">
        <v>181</v>
      </c>
      <c r="G43" s="12" t="s">
        <v>44</v>
      </c>
      <c r="H43" s="28" t="s">
        <v>198</v>
      </c>
      <c r="I43" s="28" t="s">
        <v>199</v>
      </c>
      <c r="J43" s="28" t="s">
        <v>91</v>
      </c>
      <c r="K43" s="29" t="s">
        <v>184</v>
      </c>
      <c r="L43" s="28" t="s">
        <v>184</v>
      </c>
      <c r="M43" s="12"/>
      <c r="N43" s="5" t="s">
        <v>200</v>
      </c>
      <c r="O43" s="12"/>
      <c r="P43" s="12" t="s">
        <v>49</v>
      </c>
      <c r="Q43" s="12" t="s">
        <v>50</v>
      </c>
      <c r="R43" s="12"/>
      <c r="U43" t="s">
        <v>51</v>
      </c>
    </row>
    <row r="44" spans="1:22" ht="49.5" customHeight="1" x14ac:dyDescent="0.35">
      <c r="A44" s="20">
        <v>63</v>
      </c>
      <c r="B44" s="12">
        <v>6</v>
      </c>
      <c r="C44" s="30" t="s">
        <v>201</v>
      </c>
      <c r="D44" s="18">
        <v>2022</v>
      </c>
      <c r="E44" s="31" t="s">
        <v>202</v>
      </c>
      <c r="F44" s="32" t="s">
        <v>203</v>
      </c>
      <c r="G44" s="33" t="s">
        <v>204</v>
      </c>
      <c r="H44" s="34" t="s">
        <v>205</v>
      </c>
      <c r="I44" s="35" t="s">
        <v>206</v>
      </c>
      <c r="J44" s="35" t="s">
        <v>47</v>
      </c>
      <c r="K44" s="36"/>
      <c r="L44" s="9"/>
      <c r="M44" s="37"/>
      <c r="N44" s="35" t="s">
        <v>207</v>
      </c>
      <c r="O44" s="12"/>
      <c r="P44" s="12" t="s">
        <v>49</v>
      </c>
      <c r="Q44" s="12" t="s">
        <v>208</v>
      </c>
      <c r="R44" s="12"/>
      <c r="U44" t="s">
        <v>209</v>
      </c>
      <c r="V44" t="s">
        <v>210</v>
      </c>
    </row>
    <row r="45" spans="1:22" ht="49.5" customHeight="1" x14ac:dyDescent="0.35">
      <c r="A45" s="21">
        <v>64</v>
      </c>
      <c r="B45" s="5">
        <v>6</v>
      </c>
      <c r="C45" s="30" t="s">
        <v>201</v>
      </c>
      <c r="D45" s="18">
        <v>2022</v>
      </c>
      <c r="E45" s="31" t="s">
        <v>202</v>
      </c>
      <c r="F45" s="32" t="s">
        <v>203</v>
      </c>
      <c r="G45" s="33" t="s">
        <v>204</v>
      </c>
      <c r="H45" s="38" t="s">
        <v>211</v>
      </c>
      <c r="I45" s="39" t="s">
        <v>212</v>
      </c>
      <c r="J45" s="39" t="s">
        <v>91</v>
      </c>
      <c r="K45" s="40" t="s">
        <v>113</v>
      </c>
      <c r="L45" s="9"/>
      <c r="M45" s="37"/>
      <c r="N45" s="39" t="s">
        <v>213</v>
      </c>
      <c r="O45" s="5"/>
      <c r="P45" s="5" t="s">
        <v>49</v>
      </c>
      <c r="Q45" s="5" t="s">
        <v>208</v>
      </c>
      <c r="R45" s="5"/>
      <c r="U45" t="s">
        <v>209</v>
      </c>
      <c r="V45" t="s">
        <v>210</v>
      </c>
    </row>
    <row r="46" spans="1:22" ht="49.5" customHeight="1" x14ac:dyDescent="0.35">
      <c r="A46" s="21">
        <v>65</v>
      </c>
      <c r="B46" s="5">
        <v>6</v>
      </c>
      <c r="C46" s="30" t="s">
        <v>201</v>
      </c>
      <c r="D46" s="18">
        <v>2022</v>
      </c>
      <c r="E46" s="31" t="s">
        <v>202</v>
      </c>
      <c r="F46" s="32" t="s">
        <v>203</v>
      </c>
      <c r="G46" s="33" t="s">
        <v>204</v>
      </c>
      <c r="H46" s="41" t="s">
        <v>214</v>
      </c>
      <c r="I46" s="42" t="s">
        <v>215</v>
      </c>
      <c r="J46" s="42" t="s">
        <v>56</v>
      </c>
      <c r="K46" s="42" t="s">
        <v>48</v>
      </c>
      <c r="L46" s="9"/>
      <c r="M46" s="37"/>
      <c r="N46" s="42" t="s">
        <v>216</v>
      </c>
      <c r="O46" s="12"/>
      <c r="P46" s="12" t="s">
        <v>49</v>
      </c>
      <c r="Q46" s="12" t="s">
        <v>208</v>
      </c>
      <c r="U46" t="s">
        <v>209</v>
      </c>
      <c r="V46" t="s">
        <v>210</v>
      </c>
    </row>
    <row r="47" spans="1:22" ht="49.5" customHeight="1" x14ac:dyDescent="0.35">
      <c r="A47" s="21">
        <v>66</v>
      </c>
      <c r="B47" s="5">
        <v>6</v>
      </c>
      <c r="C47" s="30" t="s">
        <v>201</v>
      </c>
      <c r="D47" s="18">
        <v>2022</v>
      </c>
      <c r="E47" s="31" t="s">
        <v>202</v>
      </c>
      <c r="F47" s="32" t="s">
        <v>203</v>
      </c>
      <c r="G47" s="33" t="s">
        <v>204</v>
      </c>
      <c r="H47" s="38" t="s">
        <v>217</v>
      </c>
      <c r="I47" s="39" t="s">
        <v>218</v>
      </c>
      <c r="J47" s="39" t="s">
        <v>59</v>
      </c>
      <c r="K47" s="40"/>
      <c r="L47" s="9"/>
      <c r="M47" s="37"/>
      <c r="N47" s="39" t="s">
        <v>219</v>
      </c>
      <c r="O47" s="5"/>
      <c r="P47" s="12" t="s">
        <v>49</v>
      </c>
      <c r="Q47" s="12" t="s">
        <v>208</v>
      </c>
      <c r="R47" s="5"/>
      <c r="U47" t="s">
        <v>209</v>
      </c>
      <c r="V47" t="s">
        <v>210</v>
      </c>
    </row>
    <row r="48" spans="1:22" ht="49.5" customHeight="1" x14ac:dyDescent="0.35">
      <c r="A48" s="21">
        <v>67</v>
      </c>
      <c r="B48" s="5">
        <v>6</v>
      </c>
      <c r="C48" s="30" t="s">
        <v>201</v>
      </c>
      <c r="D48" s="18">
        <v>2022</v>
      </c>
      <c r="E48" s="31" t="s">
        <v>202</v>
      </c>
      <c r="F48" s="32" t="s">
        <v>203</v>
      </c>
      <c r="G48" s="33" t="s">
        <v>204</v>
      </c>
      <c r="H48" s="41" t="s">
        <v>220</v>
      </c>
      <c r="I48" s="42" t="s">
        <v>221</v>
      </c>
      <c r="J48" s="42" t="s">
        <v>47</v>
      </c>
      <c r="K48" s="42" t="s">
        <v>59</v>
      </c>
      <c r="L48" s="9"/>
      <c r="M48" s="37" t="s">
        <v>81</v>
      </c>
      <c r="N48" s="42" t="s">
        <v>222</v>
      </c>
      <c r="O48" s="12"/>
      <c r="P48" s="12" t="s">
        <v>49</v>
      </c>
      <c r="Q48" s="12" t="s">
        <v>208</v>
      </c>
      <c r="R48" s="12"/>
      <c r="U48" t="s">
        <v>209</v>
      </c>
      <c r="V48" t="s">
        <v>210</v>
      </c>
    </row>
    <row r="49" spans="1:22" ht="49.5" customHeight="1" x14ac:dyDescent="0.35">
      <c r="A49" s="21">
        <v>68</v>
      </c>
      <c r="B49" s="5">
        <v>6</v>
      </c>
      <c r="C49" s="30" t="s">
        <v>201</v>
      </c>
      <c r="D49" s="18">
        <v>2022</v>
      </c>
      <c r="E49" s="31" t="s">
        <v>202</v>
      </c>
      <c r="F49" s="32" t="s">
        <v>203</v>
      </c>
      <c r="G49" s="33" t="s">
        <v>204</v>
      </c>
      <c r="H49" s="38" t="s">
        <v>223</v>
      </c>
      <c r="I49" s="39" t="s">
        <v>224</v>
      </c>
      <c r="J49" s="39" t="s">
        <v>56</v>
      </c>
      <c r="K49" s="37" t="s">
        <v>63</v>
      </c>
      <c r="L49" s="9"/>
      <c r="M49" s="39" t="s">
        <v>81</v>
      </c>
      <c r="N49" s="39" t="s">
        <v>225</v>
      </c>
      <c r="O49" s="5"/>
      <c r="P49" s="12" t="s">
        <v>49</v>
      </c>
      <c r="Q49" s="12" t="s">
        <v>208</v>
      </c>
      <c r="R49" s="5"/>
      <c r="U49" t="s">
        <v>209</v>
      </c>
      <c r="V49" t="s">
        <v>210</v>
      </c>
    </row>
    <row r="50" spans="1:22" ht="49.5" customHeight="1" x14ac:dyDescent="0.35">
      <c r="A50" s="21">
        <v>69</v>
      </c>
      <c r="B50" s="5">
        <v>6</v>
      </c>
      <c r="C50" s="30" t="s">
        <v>201</v>
      </c>
      <c r="D50" s="18">
        <v>2022</v>
      </c>
      <c r="E50" s="31" t="s">
        <v>202</v>
      </c>
      <c r="F50" s="32" t="s">
        <v>203</v>
      </c>
      <c r="G50" s="33" t="s">
        <v>204</v>
      </c>
      <c r="H50" s="41" t="s">
        <v>226</v>
      </c>
      <c r="I50" s="42" t="s">
        <v>227</v>
      </c>
      <c r="J50" s="42" t="s">
        <v>59</v>
      </c>
      <c r="K50" s="37"/>
      <c r="L50" s="9"/>
      <c r="M50" s="42" t="s">
        <v>48</v>
      </c>
      <c r="N50" s="42" t="s">
        <v>228</v>
      </c>
      <c r="O50" s="12"/>
      <c r="P50" s="12" t="s">
        <v>49</v>
      </c>
      <c r="Q50" s="12" t="s">
        <v>208</v>
      </c>
      <c r="R50" s="12"/>
      <c r="U50" t="s">
        <v>209</v>
      </c>
      <c r="V50" t="s">
        <v>210</v>
      </c>
    </row>
    <row r="51" spans="1:22" ht="49.5" customHeight="1" x14ac:dyDescent="0.35">
      <c r="A51" s="21">
        <v>70</v>
      </c>
      <c r="B51" s="5">
        <v>6</v>
      </c>
      <c r="C51" s="30" t="s">
        <v>201</v>
      </c>
      <c r="D51" s="18">
        <v>2022</v>
      </c>
      <c r="E51" s="31" t="s">
        <v>202</v>
      </c>
      <c r="F51" s="32" t="s">
        <v>203</v>
      </c>
      <c r="G51" s="33" t="s">
        <v>204</v>
      </c>
      <c r="H51" s="38" t="s">
        <v>229</v>
      </c>
      <c r="I51" s="39" t="s">
        <v>230</v>
      </c>
      <c r="J51" s="39" t="s">
        <v>59</v>
      </c>
      <c r="K51" s="37"/>
      <c r="L51" s="9"/>
      <c r="M51" s="39" t="s">
        <v>48</v>
      </c>
      <c r="N51" s="39" t="s">
        <v>231</v>
      </c>
      <c r="O51" s="5"/>
      <c r="P51" s="12" t="s">
        <v>49</v>
      </c>
      <c r="Q51" s="12" t="s">
        <v>208</v>
      </c>
      <c r="R51" s="5"/>
      <c r="U51" t="s">
        <v>209</v>
      </c>
      <c r="V51" t="s">
        <v>210</v>
      </c>
    </row>
    <row r="52" spans="1:22" ht="49.5" customHeight="1" x14ac:dyDescent="0.35">
      <c r="A52" s="21">
        <v>71</v>
      </c>
      <c r="B52" s="5">
        <v>6</v>
      </c>
      <c r="C52" s="30" t="s">
        <v>201</v>
      </c>
      <c r="D52" s="31">
        <v>2022</v>
      </c>
      <c r="E52" s="31" t="s">
        <v>202</v>
      </c>
      <c r="F52" s="32" t="s">
        <v>203</v>
      </c>
      <c r="G52" s="33" t="s">
        <v>204</v>
      </c>
      <c r="H52" s="41" t="s">
        <v>232</v>
      </c>
      <c r="I52" s="42" t="s">
        <v>233</v>
      </c>
      <c r="J52" s="42" t="s">
        <v>91</v>
      </c>
      <c r="K52" s="42"/>
      <c r="L52" s="9"/>
      <c r="M52" s="37"/>
      <c r="N52" s="42" t="s">
        <v>234</v>
      </c>
      <c r="O52" s="12"/>
      <c r="P52" s="12" t="s">
        <v>49</v>
      </c>
      <c r="Q52" s="12" t="s">
        <v>208</v>
      </c>
      <c r="R52" s="12"/>
      <c r="U52" t="s">
        <v>209</v>
      </c>
      <c r="V52" t="s">
        <v>210</v>
      </c>
    </row>
    <row r="53" spans="1:22" ht="49.5" customHeight="1" x14ac:dyDescent="0.35">
      <c r="A53" s="21">
        <v>72</v>
      </c>
      <c r="B53" s="5">
        <v>10</v>
      </c>
      <c r="C53" s="30" t="s">
        <v>235</v>
      </c>
      <c r="D53" s="31" t="s">
        <v>236</v>
      </c>
      <c r="E53" s="31" t="s">
        <v>117</v>
      </c>
      <c r="F53" s="32" t="s">
        <v>237</v>
      </c>
      <c r="G53" s="33" t="s">
        <v>44</v>
      </c>
      <c r="H53" s="43" t="s">
        <v>238</v>
      </c>
      <c r="I53" s="44" t="s">
        <v>239</v>
      </c>
      <c r="J53" s="44" t="s">
        <v>47</v>
      </c>
      <c r="K53" s="44"/>
      <c r="L53" s="44"/>
      <c r="M53" s="44"/>
      <c r="N53" s="5" t="s">
        <v>240</v>
      </c>
      <c r="O53" s="5"/>
      <c r="P53" s="5"/>
      <c r="Q53" s="5"/>
      <c r="R53" s="5"/>
    </row>
    <row r="54" spans="1:22" ht="49.5" customHeight="1" x14ac:dyDescent="0.35">
      <c r="A54" s="21">
        <v>73</v>
      </c>
      <c r="B54" s="5">
        <v>10</v>
      </c>
      <c r="C54" s="30" t="s">
        <v>235</v>
      </c>
      <c r="D54" s="31" t="s">
        <v>236</v>
      </c>
      <c r="E54" s="31" t="s">
        <v>117</v>
      </c>
      <c r="F54" s="32" t="s">
        <v>237</v>
      </c>
      <c r="G54" s="33" t="s">
        <v>44</v>
      </c>
      <c r="H54" s="45" t="s">
        <v>241</v>
      </c>
      <c r="I54" s="46" t="s">
        <v>242</v>
      </c>
      <c r="J54" s="46" t="s">
        <v>47</v>
      </c>
      <c r="K54" s="46" t="s">
        <v>56</v>
      </c>
      <c r="L54" s="9"/>
      <c r="M54" s="46" t="s">
        <v>48</v>
      </c>
      <c r="N54" s="12" t="s">
        <v>243</v>
      </c>
      <c r="O54" s="12" t="s">
        <v>244</v>
      </c>
      <c r="P54" s="12" t="s">
        <v>49</v>
      </c>
      <c r="Q54" s="12"/>
      <c r="R54" s="46" t="s">
        <v>245</v>
      </c>
    </row>
    <row r="55" spans="1:22" ht="49.5" customHeight="1" x14ac:dyDescent="0.35">
      <c r="A55" s="21">
        <v>74</v>
      </c>
      <c r="B55" s="5">
        <v>10</v>
      </c>
      <c r="C55" s="30" t="s">
        <v>235</v>
      </c>
      <c r="D55" s="31" t="s">
        <v>236</v>
      </c>
      <c r="E55" s="31" t="s">
        <v>117</v>
      </c>
      <c r="F55" s="32" t="s">
        <v>237</v>
      </c>
      <c r="G55" s="33" t="s">
        <v>44</v>
      </c>
      <c r="H55" s="47" t="s">
        <v>246</v>
      </c>
      <c r="I55" s="48" t="s">
        <v>247</v>
      </c>
      <c r="J55" s="48" t="s">
        <v>56</v>
      </c>
      <c r="K55" s="48" t="s">
        <v>248</v>
      </c>
      <c r="L55" s="48" t="s">
        <v>81</v>
      </c>
      <c r="M55" s="9"/>
      <c r="N55" s="5" t="s">
        <v>249</v>
      </c>
      <c r="O55" s="5" t="s">
        <v>250</v>
      </c>
      <c r="P55" s="5" t="s">
        <v>49</v>
      </c>
      <c r="Q55" s="5"/>
      <c r="R55" s="48" t="s">
        <v>251</v>
      </c>
    </row>
    <row r="56" spans="1:22" ht="49.5" customHeight="1" x14ac:dyDescent="0.35">
      <c r="A56" s="21">
        <v>75</v>
      </c>
      <c r="B56" s="5">
        <v>10</v>
      </c>
      <c r="C56" s="30" t="s">
        <v>235</v>
      </c>
      <c r="D56" s="31" t="s">
        <v>236</v>
      </c>
      <c r="E56" s="31" t="s">
        <v>117</v>
      </c>
      <c r="F56" s="32" t="s">
        <v>237</v>
      </c>
      <c r="G56" s="33" t="s">
        <v>44</v>
      </c>
      <c r="H56" s="45" t="s">
        <v>252</v>
      </c>
      <c r="I56" s="46" t="s">
        <v>253</v>
      </c>
      <c r="J56" s="46" t="s">
        <v>56</v>
      </c>
      <c r="K56" s="46" t="s">
        <v>63</v>
      </c>
      <c r="L56" s="46" t="s">
        <v>81</v>
      </c>
      <c r="M56" s="9"/>
      <c r="N56" s="12" t="s">
        <v>244</v>
      </c>
      <c r="O56" s="12" t="s">
        <v>254</v>
      </c>
      <c r="P56" s="12"/>
      <c r="Q56" s="12"/>
      <c r="R56" s="46" t="s">
        <v>255</v>
      </c>
    </row>
    <row r="57" spans="1:22" ht="49.5" customHeight="1" x14ac:dyDescent="0.35">
      <c r="A57" s="21">
        <v>76</v>
      </c>
      <c r="B57" s="5">
        <v>10</v>
      </c>
      <c r="C57" s="30" t="s">
        <v>235</v>
      </c>
      <c r="D57" s="31" t="s">
        <v>236</v>
      </c>
      <c r="E57" s="31" t="s">
        <v>117</v>
      </c>
      <c r="F57" s="32" t="s">
        <v>237</v>
      </c>
      <c r="G57" s="33" t="s">
        <v>44</v>
      </c>
      <c r="H57" s="47" t="s">
        <v>256</v>
      </c>
      <c r="I57" s="48" t="s">
        <v>257</v>
      </c>
      <c r="J57" s="48" t="s">
        <v>59</v>
      </c>
      <c r="K57" s="48" t="s">
        <v>63</v>
      </c>
      <c r="L57" s="48" t="s">
        <v>81</v>
      </c>
      <c r="M57" s="9"/>
      <c r="N57" s="5" t="s">
        <v>258</v>
      </c>
      <c r="O57" s="5" t="s">
        <v>259</v>
      </c>
      <c r="P57" s="5"/>
      <c r="Q57" s="5"/>
      <c r="R57" s="48" t="s">
        <v>260</v>
      </c>
    </row>
    <row r="58" spans="1:22" ht="49.5" customHeight="1" x14ac:dyDescent="0.35">
      <c r="A58" s="21">
        <v>77</v>
      </c>
      <c r="B58" s="5">
        <v>10</v>
      </c>
      <c r="C58" s="30" t="s">
        <v>235</v>
      </c>
      <c r="D58" s="31" t="s">
        <v>236</v>
      </c>
      <c r="E58" s="31" t="s">
        <v>117</v>
      </c>
      <c r="F58" s="32" t="s">
        <v>237</v>
      </c>
      <c r="G58" s="33" t="s">
        <v>44</v>
      </c>
      <c r="H58" s="45" t="s">
        <v>261</v>
      </c>
      <c r="I58" s="46" t="s">
        <v>262</v>
      </c>
      <c r="J58" s="46" t="s">
        <v>248</v>
      </c>
      <c r="K58" s="46" t="s">
        <v>263</v>
      </c>
      <c r="L58" s="46" t="s">
        <v>81</v>
      </c>
      <c r="M58" s="9"/>
      <c r="N58" s="12" t="s">
        <v>264</v>
      </c>
      <c r="O58" s="12" t="s">
        <v>265</v>
      </c>
      <c r="P58" s="12"/>
      <c r="Q58" s="12"/>
      <c r="R58" s="46" t="s">
        <v>266</v>
      </c>
    </row>
    <row r="59" spans="1:22" ht="49.5" customHeight="1" x14ac:dyDescent="0.35">
      <c r="A59" s="21">
        <v>78</v>
      </c>
      <c r="B59" s="5">
        <v>10</v>
      </c>
      <c r="C59" s="30" t="s">
        <v>235</v>
      </c>
      <c r="D59" s="31" t="s">
        <v>236</v>
      </c>
      <c r="E59" s="31" t="s">
        <v>117</v>
      </c>
      <c r="F59" s="32" t="s">
        <v>237</v>
      </c>
      <c r="G59" s="33" t="s">
        <v>44</v>
      </c>
      <c r="H59" s="47" t="s">
        <v>267</v>
      </c>
      <c r="I59" s="48" t="s">
        <v>268</v>
      </c>
      <c r="J59" s="48" t="s">
        <v>56</v>
      </c>
      <c r="K59" s="48" t="s">
        <v>59</v>
      </c>
      <c r="L59" s="48" t="s">
        <v>48</v>
      </c>
      <c r="M59" s="9"/>
      <c r="N59" s="5" t="s">
        <v>249</v>
      </c>
      <c r="O59" s="5" t="s">
        <v>258</v>
      </c>
      <c r="P59" s="5"/>
      <c r="Q59" s="5"/>
      <c r="R59" s="48" t="s">
        <v>269</v>
      </c>
    </row>
    <row r="60" spans="1:22" ht="49.5" customHeight="1" x14ac:dyDescent="0.35">
      <c r="A60" s="21">
        <v>79</v>
      </c>
      <c r="B60" s="5">
        <v>10</v>
      </c>
      <c r="C60" s="30" t="s">
        <v>235</v>
      </c>
      <c r="D60" s="31" t="s">
        <v>236</v>
      </c>
      <c r="E60" s="31" t="s">
        <v>117</v>
      </c>
      <c r="F60" s="32" t="s">
        <v>237</v>
      </c>
      <c r="G60" s="33" t="s">
        <v>44</v>
      </c>
      <c r="H60" s="45" t="s">
        <v>270</v>
      </c>
      <c r="I60" s="46" t="s">
        <v>271</v>
      </c>
      <c r="J60" s="46" t="s">
        <v>263</v>
      </c>
      <c r="K60" s="49"/>
      <c r="L60" s="49"/>
      <c r="M60" s="9"/>
      <c r="N60" s="12" t="s">
        <v>265</v>
      </c>
      <c r="O60" s="12"/>
      <c r="P60" s="12"/>
      <c r="Q60" s="12"/>
      <c r="R60" s="46" t="s">
        <v>272</v>
      </c>
    </row>
    <row r="61" spans="1:22" ht="49.5" customHeight="1" x14ac:dyDescent="0.35">
      <c r="A61" s="21">
        <v>80</v>
      </c>
      <c r="B61" s="5">
        <v>10</v>
      </c>
      <c r="C61" s="30" t="s">
        <v>235</v>
      </c>
      <c r="D61" s="31" t="s">
        <v>236</v>
      </c>
      <c r="E61" s="31" t="s">
        <v>117</v>
      </c>
      <c r="F61" s="32" t="s">
        <v>237</v>
      </c>
      <c r="G61" s="33" t="s">
        <v>44</v>
      </c>
      <c r="H61" s="47" t="s">
        <v>273</v>
      </c>
      <c r="I61" s="48" t="s">
        <v>274</v>
      </c>
      <c r="J61" s="48" t="s">
        <v>91</v>
      </c>
      <c r="K61" s="48"/>
      <c r="L61" s="48"/>
      <c r="M61" s="9"/>
      <c r="N61" s="5" t="s">
        <v>275</v>
      </c>
      <c r="O61" s="5"/>
      <c r="P61" s="5"/>
      <c r="Q61" s="5"/>
      <c r="R61" s="48" t="s">
        <v>276</v>
      </c>
    </row>
    <row r="62" spans="1:22" ht="49.5" customHeight="1" x14ac:dyDescent="0.35">
      <c r="A62" s="21">
        <v>81</v>
      </c>
      <c r="B62" s="50" t="s">
        <v>277</v>
      </c>
      <c r="C62" s="30" t="s">
        <v>278</v>
      </c>
      <c r="D62" s="31" t="s">
        <v>236</v>
      </c>
      <c r="E62" s="31" t="s">
        <v>279</v>
      </c>
      <c r="F62" s="51" t="s">
        <v>280</v>
      </c>
      <c r="G62" s="52" t="s">
        <v>44</v>
      </c>
      <c r="H62" s="53" t="s">
        <v>281</v>
      </c>
      <c r="I62" s="54" t="s">
        <v>282</v>
      </c>
      <c r="J62" s="54" t="s">
        <v>47</v>
      </c>
      <c r="K62" s="54" t="s">
        <v>141</v>
      </c>
      <c r="L62" s="54"/>
      <c r="M62" s="54"/>
      <c r="N62" s="54" t="s">
        <v>283</v>
      </c>
      <c r="O62" s="12"/>
      <c r="P62" s="12" t="s">
        <v>49</v>
      </c>
      <c r="Q62" s="12"/>
      <c r="R62" s="12" t="s">
        <v>284</v>
      </c>
    </row>
    <row r="63" spans="1:22" ht="49.5" customHeight="1" x14ac:dyDescent="0.35">
      <c r="A63" s="21">
        <v>82</v>
      </c>
      <c r="B63" s="50">
        <v>4</v>
      </c>
      <c r="C63" s="30" t="s">
        <v>278</v>
      </c>
      <c r="D63">
        <v>2024</v>
      </c>
      <c r="E63" s="31" t="s">
        <v>279</v>
      </c>
      <c r="F63" s="51" t="s">
        <v>280</v>
      </c>
      <c r="G63" s="52" t="s">
        <v>44</v>
      </c>
      <c r="H63" s="55" t="s">
        <v>285</v>
      </c>
      <c r="I63" s="56" t="s">
        <v>286</v>
      </c>
      <c r="J63" s="56" t="s">
        <v>106</v>
      </c>
      <c r="K63" s="56"/>
      <c r="L63" s="56"/>
      <c r="M63" s="56"/>
      <c r="N63" s="56" t="s">
        <v>287</v>
      </c>
      <c r="O63" s="5"/>
      <c r="P63" s="12" t="s">
        <v>49</v>
      </c>
      <c r="Q63" s="5"/>
      <c r="R63" s="12" t="s">
        <v>284</v>
      </c>
    </row>
    <row r="64" spans="1:22" ht="49.5" customHeight="1" x14ac:dyDescent="0.35">
      <c r="A64" s="20">
        <v>83</v>
      </c>
      <c r="B64" s="50">
        <v>4</v>
      </c>
      <c r="C64" s="30" t="s">
        <v>278</v>
      </c>
      <c r="D64">
        <v>2024</v>
      </c>
      <c r="E64" s="31" t="s">
        <v>279</v>
      </c>
      <c r="F64" s="51" t="s">
        <v>280</v>
      </c>
      <c r="G64" s="52" t="s">
        <v>44</v>
      </c>
      <c r="H64" s="57" t="s">
        <v>288</v>
      </c>
      <c r="I64" s="58" t="s">
        <v>289</v>
      </c>
      <c r="J64" s="58" t="s">
        <v>81</v>
      </c>
      <c r="K64" s="58" t="s">
        <v>133</v>
      </c>
      <c r="L64" s="58"/>
      <c r="M64" s="58" t="s">
        <v>81</v>
      </c>
      <c r="N64" s="58" t="s">
        <v>290</v>
      </c>
      <c r="O64" s="12"/>
      <c r="P64" s="12" t="s">
        <v>49</v>
      </c>
      <c r="Q64" s="12"/>
      <c r="R64" s="12" t="s">
        <v>284</v>
      </c>
    </row>
    <row r="65" spans="1:21" ht="49.5" customHeight="1" x14ac:dyDescent="0.35">
      <c r="A65" s="21">
        <v>84</v>
      </c>
      <c r="B65" s="50">
        <v>4</v>
      </c>
      <c r="C65" s="30" t="s">
        <v>278</v>
      </c>
      <c r="D65">
        <v>2024</v>
      </c>
      <c r="E65" s="31" t="s">
        <v>279</v>
      </c>
      <c r="F65" s="51" t="s">
        <v>280</v>
      </c>
      <c r="G65" s="52" t="s">
        <v>44</v>
      </c>
      <c r="H65" s="55" t="s">
        <v>291</v>
      </c>
      <c r="I65" s="56" t="s">
        <v>292</v>
      </c>
      <c r="J65" t="s">
        <v>176</v>
      </c>
      <c r="K65" s="56"/>
      <c r="L65" s="56"/>
      <c r="M65" s="56"/>
      <c r="N65" s="56" t="s">
        <v>293</v>
      </c>
      <c r="O65" s="5"/>
      <c r="P65" s="12" t="s">
        <v>49</v>
      </c>
      <c r="Q65" s="5"/>
      <c r="R65" s="12" t="s">
        <v>284</v>
      </c>
    </row>
    <row r="66" spans="1:21" ht="49.5" customHeight="1" x14ac:dyDescent="0.35">
      <c r="A66" s="20">
        <v>85</v>
      </c>
      <c r="B66" s="12">
        <v>5</v>
      </c>
      <c r="C66" s="5" t="s">
        <v>294</v>
      </c>
      <c r="D66" s="6" t="s">
        <v>71</v>
      </c>
      <c r="E66" s="6" t="s">
        <v>295</v>
      </c>
      <c r="F66" s="59" t="s">
        <v>118</v>
      </c>
      <c r="G66" s="60" t="s">
        <v>44</v>
      </c>
      <c r="H66" s="61" t="s">
        <v>296</v>
      </c>
      <c r="I66" s="62" t="s">
        <v>297</v>
      </c>
      <c r="J66" s="62" t="s">
        <v>47</v>
      </c>
      <c r="K66" s="62" t="s">
        <v>184</v>
      </c>
      <c r="L66" s="62" t="s">
        <v>184</v>
      </c>
      <c r="M66" s="62" t="s">
        <v>184</v>
      </c>
      <c r="N66" s="62" t="s">
        <v>298</v>
      </c>
      <c r="O66" s="12"/>
      <c r="P66" s="12" t="s">
        <v>49</v>
      </c>
      <c r="Q66" s="12"/>
      <c r="R66" s="12"/>
    </row>
    <row r="67" spans="1:21" ht="49.5" customHeight="1" x14ac:dyDescent="0.35">
      <c r="A67" s="21">
        <v>86</v>
      </c>
      <c r="B67" s="12">
        <v>5</v>
      </c>
      <c r="C67" s="5" t="s">
        <v>294</v>
      </c>
      <c r="D67" s="6" t="s">
        <v>94</v>
      </c>
      <c r="E67" s="6" t="s">
        <v>295</v>
      </c>
      <c r="F67" s="59" t="s">
        <v>118</v>
      </c>
      <c r="G67" s="60" t="s">
        <v>44</v>
      </c>
      <c r="H67" s="63" t="s">
        <v>299</v>
      </c>
      <c r="I67" s="64" t="s">
        <v>300</v>
      </c>
      <c r="J67" s="64" t="s">
        <v>133</v>
      </c>
      <c r="K67" s="64" t="s">
        <v>184</v>
      </c>
      <c r="L67" s="64" t="s">
        <v>184</v>
      </c>
      <c r="M67" s="64" t="s">
        <v>81</v>
      </c>
      <c r="N67" s="64" t="s">
        <v>301</v>
      </c>
      <c r="O67" s="5"/>
      <c r="P67" s="12" t="s">
        <v>49</v>
      </c>
      <c r="Q67" s="5"/>
      <c r="R67" s="5"/>
    </row>
    <row r="68" spans="1:21" ht="49.5" customHeight="1" x14ac:dyDescent="0.35">
      <c r="A68" s="20">
        <v>87</v>
      </c>
      <c r="B68" s="12">
        <v>5</v>
      </c>
      <c r="C68" s="5" t="s">
        <v>294</v>
      </c>
      <c r="D68" s="6" t="s">
        <v>236</v>
      </c>
      <c r="E68" s="6" t="s">
        <v>295</v>
      </c>
      <c r="F68" s="59" t="s">
        <v>118</v>
      </c>
      <c r="G68" s="60" t="s">
        <v>44</v>
      </c>
      <c r="H68" s="65" t="s">
        <v>302</v>
      </c>
      <c r="I68" s="66" t="s">
        <v>303</v>
      </c>
      <c r="J68" s="66" t="s">
        <v>56</v>
      </c>
      <c r="K68" s="66" t="s">
        <v>63</v>
      </c>
      <c r="L68" s="66" t="s">
        <v>184</v>
      </c>
      <c r="M68" s="66" t="s">
        <v>48</v>
      </c>
      <c r="N68" s="66" t="s">
        <v>304</v>
      </c>
      <c r="O68" s="12"/>
      <c r="P68" s="12" t="s">
        <v>49</v>
      </c>
      <c r="Q68" s="12"/>
      <c r="R68" s="12"/>
    </row>
    <row r="69" spans="1:21" ht="49.5" customHeight="1" x14ac:dyDescent="0.35">
      <c r="A69" s="21">
        <v>88</v>
      </c>
      <c r="B69" s="12">
        <v>5</v>
      </c>
      <c r="C69" s="5" t="s">
        <v>294</v>
      </c>
      <c r="D69" s="6" t="s">
        <v>305</v>
      </c>
      <c r="E69" s="6" t="s">
        <v>295</v>
      </c>
      <c r="F69" s="59" t="s">
        <v>118</v>
      </c>
      <c r="G69" s="60" t="s">
        <v>44</v>
      </c>
      <c r="H69" s="63" t="s">
        <v>306</v>
      </c>
      <c r="I69" s="64" t="s">
        <v>307</v>
      </c>
      <c r="J69" s="64" t="s">
        <v>56</v>
      </c>
      <c r="K69" s="64" t="s">
        <v>184</v>
      </c>
      <c r="L69" s="64" t="s">
        <v>184</v>
      </c>
      <c r="M69" s="64" t="s">
        <v>48</v>
      </c>
      <c r="N69" s="64" t="s">
        <v>308</v>
      </c>
      <c r="O69" s="5"/>
      <c r="P69" s="12" t="s">
        <v>49</v>
      </c>
      <c r="Q69" s="5"/>
      <c r="R69" s="5"/>
    </row>
    <row r="70" spans="1:21" ht="49.5" customHeight="1" x14ac:dyDescent="0.35">
      <c r="A70" s="20">
        <v>89</v>
      </c>
      <c r="B70" s="12">
        <v>5</v>
      </c>
      <c r="C70" s="5" t="s">
        <v>294</v>
      </c>
      <c r="D70" s="6" t="s">
        <v>309</v>
      </c>
      <c r="E70" s="6" t="s">
        <v>295</v>
      </c>
      <c r="F70" s="59" t="s">
        <v>118</v>
      </c>
      <c r="G70" s="60" t="s">
        <v>44</v>
      </c>
      <c r="H70" s="65" t="s">
        <v>310</v>
      </c>
      <c r="I70" s="66" t="s">
        <v>311</v>
      </c>
      <c r="J70" s="66" t="s">
        <v>59</v>
      </c>
      <c r="K70" s="66" t="s">
        <v>263</v>
      </c>
      <c r="L70" s="66" t="s">
        <v>184</v>
      </c>
      <c r="M70" s="66" t="s">
        <v>184</v>
      </c>
      <c r="N70" s="66" t="s">
        <v>312</v>
      </c>
      <c r="O70" s="12"/>
      <c r="P70" s="12" t="s">
        <v>49</v>
      </c>
      <c r="Q70" s="12"/>
      <c r="R70" s="12"/>
    </row>
    <row r="71" spans="1:21" ht="49.5" customHeight="1" x14ac:dyDescent="0.35">
      <c r="A71" s="21">
        <v>90</v>
      </c>
      <c r="B71" s="12">
        <v>5</v>
      </c>
      <c r="C71" s="5" t="s">
        <v>294</v>
      </c>
      <c r="D71" s="6" t="s">
        <v>313</v>
      </c>
      <c r="E71" s="6" t="s">
        <v>295</v>
      </c>
      <c r="F71" s="59" t="s">
        <v>118</v>
      </c>
      <c r="G71" s="60" t="s">
        <v>44</v>
      </c>
      <c r="H71" s="63" t="s">
        <v>314</v>
      </c>
      <c r="I71" s="64" t="s">
        <v>315</v>
      </c>
      <c r="J71" s="64" t="s">
        <v>263</v>
      </c>
      <c r="K71" s="64" t="s">
        <v>99</v>
      </c>
      <c r="L71" s="64" t="s">
        <v>184</v>
      </c>
      <c r="M71" s="64" t="s">
        <v>184</v>
      </c>
      <c r="N71" s="64" t="s">
        <v>316</v>
      </c>
      <c r="O71" s="5"/>
      <c r="P71" s="12" t="s">
        <v>49</v>
      </c>
      <c r="Q71" s="5"/>
      <c r="R71" s="5"/>
    </row>
    <row r="72" spans="1:21" ht="49.5" customHeight="1" x14ac:dyDescent="0.35">
      <c r="A72" s="20">
        <v>91</v>
      </c>
      <c r="B72" s="12">
        <v>5</v>
      </c>
      <c r="C72" s="5" t="s">
        <v>294</v>
      </c>
      <c r="D72" s="6" t="s">
        <v>317</v>
      </c>
      <c r="E72" s="6" t="s">
        <v>295</v>
      </c>
      <c r="F72" s="59" t="s">
        <v>118</v>
      </c>
      <c r="G72" s="60" t="s">
        <v>44</v>
      </c>
      <c r="H72" s="65" t="s">
        <v>318</v>
      </c>
      <c r="I72" s="66" t="s">
        <v>319</v>
      </c>
      <c r="J72" s="66" t="s">
        <v>176</v>
      </c>
      <c r="K72" s="66" t="s">
        <v>184</v>
      </c>
      <c r="L72" s="66" t="s">
        <v>184</v>
      </c>
      <c r="M72" s="66" t="s">
        <v>184</v>
      </c>
      <c r="N72" s="66" t="s">
        <v>320</v>
      </c>
      <c r="O72" s="12"/>
      <c r="P72" s="12" t="s">
        <v>49</v>
      </c>
      <c r="Q72" s="12"/>
      <c r="R72" s="12" t="s">
        <v>321</v>
      </c>
    </row>
    <row r="73" spans="1:21" ht="49.5" customHeight="1" x14ac:dyDescent="0.35">
      <c r="A73" s="67">
        <v>92</v>
      </c>
      <c r="B73" s="67">
        <v>7</v>
      </c>
      <c r="C73" s="67" t="s">
        <v>322</v>
      </c>
      <c r="D73" s="67">
        <v>2025</v>
      </c>
      <c r="E73" s="67" t="s">
        <v>202</v>
      </c>
      <c r="F73" s="67" t="s">
        <v>323</v>
      </c>
      <c r="G73" s="67" t="s">
        <v>44</v>
      </c>
      <c r="H73" s="67" t="s">
        <v>324</v>
      </c>
      <c r="I73" s="67" t="s">
        <v>325</v>
      </c>
      <c r="J73" s="67" t="s">
        <v>47</v>
      </c>
      <c r="K73" s="67" t="s">
        <v>141</v>
      </c>
      <c r="L73" s="67"/>
      <c r="M73" s="67"/>
      <c r="N73" s="67" t="s">
        <v>326</v>
      </c>
      <c r="O73" s="67" t="s">
        <v>327</v>
      </c>
      <c r="P73" s="67" t="s">
        <v>49</v>
      </c>
      <c r="Q73" s="67" t="s">
        <v>77</v>
      </c>
      <c r="R73" s="67" t="s">
        <v>328</v>
      </c>
      <c r="U73" t="s">
        <v>78</v>
      </c>
    </row>
    <row r="74" spans="1:21" ht="49.5" customHeight="1" x14ac:dyDescent="0.35">
      <c r="A74" s="67">
        <v>93</v>
      </c>
      <c r="B74" s="67">
        <v>7</v>
      </c>
      <c r="C74" s="67" t="s">
        <v>322</v>
      </c>
      <c r="D74" s="67">
        <v>2025</v>
      </c>
      <c r="E74" s="67" t="s">
        <v>202</v>
      </c>
      <c r="F74" s="67" t="s">
        <v>323</v>
      </c>
      <c r="G74" s="67" t="s">
        <v>44</v>
      </c>
      <c r="H74" s="67" t="s">
        <v>324</v>
      </c>
      <c r="I74" s="67" t="s">
        <v>329</v>
      </c>
      <c r="J74" s="67" t="s">
        <v>81</v>
      </c>
      <c r="K74" s="67" t="s">
        <v>133</v>
      </c>
      <c r="L74" s="67"/>
      <c r="M74" s="67" t="s">
        <v>81</v>
      </c>
      <c r="N74" s="67" t="s">
        <v>330</v>
      </c>
      <c r="O74" s="67" t="s">
        <v>331</v>
      </c>
      <c r="P74" s="67" t="s">
        <v>49</v>
      </c>
      <c r="Q74" s="67" t="s">
        <v>77</v>
      </c>
      <c r="R74" s="67" t="s">
        <v>332</v>
      </c>
      <c r="U74" t="s">
        <v>78</v>
      </c>
    </row>
    <row r="75" spans="1:21" ht="49.5" customHeight="1" x14ac:dyDescent="0.35">
      <c r="A75" s="67">
        <v>94</v>
      </c>
      <c r="B75" s="67">
        <v>7</v>
      </c>
      <c r="C75" s="67" t="s">
        <v>322</v>
      </c>
      <c r="D75" s="67">
        <v>2025</v>
      </c>
      <c r="E75" s="67" t="s">
        <v>202</v>
      </c>
      <c r="F75" s="67" t="s">
        <v>323</v>
      </c>
      <c r="G75" s="67" t="s">
        <v>44</v>
      </c>
      <c r="H75" s="67" t="s">
        <v>333</v>
      </c>
      <c r="I75" s="67" t="s">
        <v>334</v>
      </c>
      <c r="J75" s="67" t="s">
        <v>56</v>
      </c>
      <c r="K75" s="67"/>
      <c r="L75" s="67"/>
      <c r="M75" s="67" t="s">
        <v>48</v>
      </c>
      <c r="N75" s="67" t="s">
        <v>335</v>
      </c>
      <c r="O75" s="67"/>
      <c r="P75" s="67" t="s">
        <v>49</v>
      </c>
      <c r="Q75" s="67" t="s">
        <v>77</v>
      </c>
      <c r="R75" s="67" t="s">
        <v>336</v>
      </c>
      <c r="U75" t="s">
        <v>78</v>
      </c>
    </row>
    <row r="76" spans="1:21" ht="49.5" customHeight="1" x14ac:dyDescent="0.35">
      <c r="A76" s="67">
        <v>95</v>
      </c>
      <c r="B76" s="67">
        <v>7</v>
      </c>
      <c r="C76" s="67" t="s">
        <v>322</v>
      </c>
      <c r="D76" s="67">
        <v>2025</v>
      </c>
      <c r="E76" s="67" t="s">
        <v>202</v>
      </c>
      <c r="F76" s="67" t="s">
        <v>323</v>
      </c>
      <c r="G76" s="67" t="s">
        <v>44</v>
      </c>
      <c r="H76" s="67" t="s">
        <v>337</v>
      </c>
      <c r="I76" s="67" t="s">
        <v>338</v>
      </c>
      <c r="J76" s="67" t="s">
        <v>99</v>
      </c>
      <c r="K76" s="67"/>
      <c r="L76" s="67"/>
      <c r="M76" s="67" t="s">
        <v>81</v>
      </c>
      <c r="N76" s="67" t="s">
        <v>339</v>
      </c>
      <c r="O76" s="67"/>
      <c r="P76" s="67" t="s">
        <v>49</v>
      </c>
      <c r="Q76" s="67" t="s">
        <v>77</v>
      </c>
      <c r="R76" s="67" t="s">
        <v>340</v>
      </c>
      <c r="U76" t="s">
        <v>78</v>
      </c>
    </row>
    <row r="77" spans="1:21" ht="49.5" customHeight="1" x14ac:dyDescent="0.35">
      <c r="A77" s="67">
        <v>96</v>
      </c>
      <c r="B77" s="67">
        <v>7</v>
      </c>
      <c r="C77" s="67" t="s">
        <v>322</v>
      </c>
      <c r="D77" s="67">
        <v>2025</v>
      </c>
      <c r="E77" s="67" t="s">
        <v>202</v>
      </c>
      <c r="F77" s="67" t="s">
        <v>323</v>
      </c>
      <c r="G77" s="67" t="s">
        <v>44</v>
      </c>
      <c r="H77" s="67" t="s">
        <v>341</v>
      </c>
      <c r="I77" s="67" t="s">
        <v>342</v>
      </c>
      <c r="J77" s="67" t="s">
        <v>59</v>
      </c>
      <c r="K77" s="67" t="s">
        <v>53</v>
      </c>
      <c r="L77" s="67"/>
      <c r="M77" s="67" t="s">
        <v>48</v>
      </c>
      <c r="N77" s="67" t="s">
        <v>343</v>
      </c>
      <c r="O77" s="67" t="s">
        <v>344</v>
      </c>
      <c r="P77" s="67" t="s">
        <v>49</v>
      </c>
      <c r="Q77" s="67" t="s">
        <v>77</v>
      </c>
      <c r="R77" s="67" t="s">
        <v>345</v>
      </c>
      <c r="U77" t="s">
        <v>78</v>
      </c>
    </row>
    <row r="78" spans="1:21" ht="49.5" customHeight="1" x14ac:dyDescent="0.35">
      <c r="A78" s="67">
        <v>97</v>
      </c>
      <c r="B78" s="67">
        <v>7</v>
      </c>
      <c r="C78" s="67" t="s">
        <v>322</v>
      </c>
      <c r="D78" s="67">
        <v>2025</v>
      </c>
      <c r="E78" s="67" t="s">
        <v>202</v>
      </c>
      <c r="F78" s="67" t="s">
        <v>323</v>
      </c>
      <c r="G78" s="67" t="s">
        <v>44</v>
      </c>
      <c r="H78" s="67" t="s">
        <v>346</v>
      </c>
      <c r="I78" s="67" t="s">
        <v>347</v>
      </c>
      <c r="J78" s="67" t="s">
        <v>141</v>
      </c>
      <c r="K78" s="67" t="s">
        <v>47</v>
      </c>
      <c r="L78" s="67"/>
      <c r="M78" s="67"/>
      <c r="N78" s="67" t="s">
        <v>348</v>
      </c>
      <c r="O78" s="67" t="s">
        <v>349</v>
      </c>
      <c r="P78" s="67" t="s">
        <v>49</v>
      </c>
      <c r="Q78" s="67" t="s">
        <v>77</v>
      </c>
      <c r="R78" s="67" t="s">
        <v>350</v>
      </c>
      <c r="U78" t="s">
        <v>78</v>
      </c>
    </row>
    <row r="79" spans="1:21" ht="49.5" customHeight="1" x14ac:dyDescent="0.35">
      <c r="A79" s="67">
        <v>98</v>
      </c>
      <c r="B79" s="67">
        <v>20</v>
      </c>
      <c r="C79" s="67" t="s">
        <v>351</v>
      </c>
      <c r="D79" s="67">
        <v>2024</v>
      </c>
      <c r="E79" s="67" t="s">
        <v>202</v>
      </c>
      <c r="F79" s="67" t="s">
        <v>323</v>
      </c>
      <c r="G79" s="67" t="s">
        <v>44</v>
      </c>
      <c r="H79" s="67" t="s">
        <v>352</v>
      </c>
      <c r="I79" s="67" t="s">
        <v>353</v>
      </c>
      <c r="J79" s="67" t="s">
        <v>47</v>
      </c>
      <c r="K79" s="67"/>
      <c r="L79" s="67"/>
      <c r="M79" s="67"/>
      <c r="N79" s="67" t="s">
        <v>354</v>
      </c>
      <c r="O79" s="67"/>
      <c r="P79" s="67" t="s">
        <v>49</v>
      </c>
      <c r="Q79" s="67" t="s">
        <v>77</v>
      </c>
      <c r="R79" s="67" t="s">
        <v>355</v>
      </c>
      <c r="U79" t="s">
        <v>78</v>
      </c>
    </row>
    <row r="80" spans="1:21" ht="49.5" customHeight="1" x14ac:dyDescent="0.35">
      <c r="A80" s="67">
        <v>99</v>
      </c>
      <c r="B80" s="67">
        <v>20</v>
      </c>
      <c r="C80" s="67" t="s">
        <v>351</v>
      </c>
      <c r="D80" s="67">
        <v>2024</v>
      </c>
      <c r="E80" s="67" t="s">
        <v>202</v>
      </c>
      <c r="F80" s="67" t="s">
        <v>323</v>
      </c>
      <c r="G80" s="67" t="s">
        <v>44</v>
      </c>
      <c r="H80" s="67" t="s">
        <v>356</v>
      </c>
      <c r="I80" s="67" t="s">
        <v>357</v>
      </c>
      <c r="J80" s="67" t="s">
        <v>47</v>
      </c>
      <c r="K80" s="67"/>
      <c r="L80" s="67"/>
      <c r="M80" s="67"/>
      <c r="N80" s="67" t="s">
        <v>358</v>
      </c>
      <c r="O80" s="67"/>
      <c r="P80" s="67" t="s">
        <v>49</v>
      </c>
      <c r="Q80" s="67" t="s">
        <v>77</v>
      </c>
      <c r="R80" s="67" t="s">
        <v>359</v>
      </c>
      <c r="U80" t="s">
        <v>78</v>
      </c>
    </row>
    <row r="81" spans="1:21" ht="49.5" customHeight="1" x14ac:dyDescent="0.35">
      <c r="A81" s="67">
        <v>100</v>
      </c>
      <c r="B81" s="67">
        <v>20</v>
      </c>
      <c r="C81" s="67" t="s">
        <v>351</v>
      </c>
      <c r="D81" s="67">
        <v>2024</v>
      </c>
      <c r="E81" s="67" t="s">
        <v>202</v>
      </c>
      <c r="F81" s="67" t="s">
        <v>323</v>
      </c>
      <c r="G81" s="67" t="s">
        <v>44</v>
      </c>
      <c r="H81" s="67" t="s">
        <v>360</v>
      </c>
      <c r="I81" s="67" t="s">
        <v>361</v>
      </c>
      <c r="J81" s="67" t="s">
        <v>56</v>
      </c>
      <c r="K81" s="67"/>
      <c r="L81" s="67"/>
      <c r="M81" s="67" t="s">
        <v>48</v>
      </c>
      <c r="N81" s="67" t="s">
        <v>362</v>
      </c>
      <c r="O81" s="67"/>
      <c r="P81" s="67" t="s">
        <v>49</v>
      </c>
      <c r="Q81" s="67" t="s">
        <v>77</v>
      </c>
      <c r="R81" s="67" t="s">
        <v>363</v>
      </c>
      <c r="U81" t="s">
        <v>78</v>
      </c>
    </row>
    <row r="82" spans="1:21" ht="49.5" customHeight="1" x14ac:dyDescent="0.35">
      <c r="A82" s="67">
        <v>101</v>
      </c>
      <c r="B82" s="67">
        <v>20</v>
      </c>
      <c r="C82" s="67" t="s">
        <v>351</v>
      </c>
      <c r="D82" s="67">
        <v>2024</v>
      </c>
      <c r="E82" s="67" t="s">
        <v>202</v>
      </c>
      <c r="F82" s="67" t="s">
        <v>323</v>
      </c>
      <c r="G82" s="67" t="s">
        <v>44</v>
      </c>
      <c r="H82" s="67" t="s">
        <v>364</v>
      </c>
      <c r="I82" s="67" t="s">
        <v>365</v>
      </c>
      <c r="J82" s="67" t="s">
        <v>59</v>
      </c>
      <c r="K82" s="67" t="s">
        <v>63</v>
      </c>
      <c r="L82" s="67"/>
      <c r="M82" s="67" t="s">
        <v>48</v>
      </c>
      <c r="N82" s="67" t="s">
        <v>366</v>
      </c>
      <c r="O82" s="67" t="s">
        <v>367</v>
      </c>
      <c r="P82" s="67" t="s">
        <v>49</v>
      </c>
      <c r="Q82" s="67" t="s">
        <v>77</v>
      </c>
      <c r="R82" s="67" t="s">
        <v>368</v>
      </c>
      <c r="U82" t="s">
        <v>78</v>
      </c>
    </row>
    <row r="83" spans="1:21" ht="49.5" customHeight="1" x14ac:dyDescent="0.35">
      <c r="A83" s="67">
        <v>102</v>
      </c>
      <c r="B83" s="67">
        <v>20</v>
      </c>
      <c r="C83" s="67" t="s">
        <v>351</v>
      </c>
      <c r="D83" s="67">
        <v>2024</v>
      </c>
      <c r="E83" s="67" t="s">
        <v>202</v>
      </c>
      <c r="F83" s="67" t="s">
        <v>323</v>
      </c>
      <c r="G83" s="67" t="s">
        <v>44</v>
      </c>
      <c r="H83" s="67" t="s">
        <v>369</v>
      </c>
      <c r="I83" s="67" t="s">
        <v>370</v>
      </c>
      <c r="J83" s="67" t="s">
        <v>47</v>
      </c>
      <c r="K83" s="67" t="s">
        <v>133</v>
      </c>
      <c r="L83" s="67"/>
      <c r="M83" s="67"/>
      <c r="N83" s="67" t="s">
        <v>371</v>
      </c>
      <c r="O83" s="67" t="s">
        <v>372</v>
      </c>
      <c r="P83" s="67" t="s">
        <v>49</v>
      </c>
      <c r="Q83" s="67" t="s">
        <v>77</v>
      </c>
      <c r="R83" s="67" t="s">
        <v>373</v>
      </c>
      <c r="U83" t="s">
        <v>78</v>
      </c>
    </row>
    <row r="84" spans="1:21" ht="49.5" customHeight="1" x14ac:dyDescent="0.35">
      <c r="A84" s="67">
        <v>103</v>
      </c>
      <c r="B84" s="67">
        <v>20</v>
      </c>
      <c r="C84" s="67" t="s">
        <v>351</v>
      </c>
      <c r="D84" s="67">
        <v>2024</v>
      </c>
      <c r="E84" s="67" t="s">
        <v>202</v>
      </c>
      <c r="F84" s="67" t="s">
        <v>323</v>
      </c>
      <c r="G84" s="67" t="s">
        <v>44</v>
      </c>
      <c r="H84" s="67" t="s">
        <v>374</v>
      </c>
      <c r="I84" s="67" t="s">
        <v>375</v>
      </c>
      <c r="J84" s="67" t="s">
        <v>59</v>
      </c>
      <c r="K84" s="67"/>
      <c r="L84" s="67"/>
      <c r="M84" s="67" t="s">
        <v>48</v>
      </c>
      <c r="N84" s="67" t="s">
        <v>376</v>
      </c>
      <c r="O84" s="67"/>
      <c r="P84" s="67" t="s">
        <v>49</v>
      </c>
      <c r="Q84" s="67" t="s">
        <v>77</v>
      </c>
      <c r="R84" s="67" t="s">
        <v>377</v>
      </c>
      <c r="U84" t="s">
        <v>78</v>
      </c>
    </row>
    <row r="85" spans="1:21" ht="49.5" customHeight="1" x14ac:dyDescent="0.35">
      <c r="A85" s="67">
        <v>104</v>
      </c>
      <c r="B85" s="67">
        <v>13</v>
      </c>
      <c r="C85" s="67" t="s">
        <v>378</v>
      </c>
      <c r="D85" s="67">
        <v>2025</v>
      </c>
      <c r="E85" s="67" t="s">
        <v>117</v>
      </c>
      <c r="F85" s="67" t="s">
        <v>379</v>
      </c>
      <c r="G85" s="67" t="s">
        <v>44</v>
      </c>
      <c r="H85" s="67" t="s">
        <v>246</v>
      </c>
      <c r="I85" s="67" t="s">
        <v>380</v>
      </c>
      <c r="J85" s="67" t="s">
        <v>47</v>
      </c>
      <c r="K85" s="67"/>
      <c r="L85" s="67"/>
      <c r="M85" s="67"/>
      <c r="N85" s="67" t="s">
        <v>381</v>
      </c>
      <c r="O85" s="67"/>
      <c r="P85" s="67" t="s">
        <v>49</v>
      </c>
      <c r="Q85" s="67" t="s">
        <v>77</v>
      </c>
      <c r="R85" s="67" t="s">
        <v>382</v>
      </c>
      <c r="U85" t="s">
        <v>78</v>
      </c>
    </row>
    <row r="86" spans="1:21" ht="49.5" customHeight="1" x14ac:dyDescent="0.35">
      <c r="A86" s="67">
        <v>105</v>
      </c>
      <c r="B86" s="67">
        <v>13</v>
      </c>
      <c r="C86" s="67" t="s">
        <v>378</v>
      </c>
      <c r="D86" s="67">
        <v>2025</v>
      </c>
      <c r="E86" s="67" t="s">
        <v>117</v>
      </c>
      <c r="F86" s="67" t="s">
        <v>379</v>
      </c>
      <c r="G86" s="67" t="s">
        <v>44</v>
      </c>
      <c r="H86" s="67" t="s">
        <v>246</v>
      </c>
      <c r="I86" s="67" t="s">
        <v>383</v>
      </c>
      <c r="J86" s="67" t="s">
        <v>263</v>
      </c>
      <c r="K86" s="67"/>
      <c r="L86" s="67"/>
      <c r="M86" s="67"/>
      <c r="N86" s="67" t="s">
        <v>384</v>
      </c>
      <c r="O86" s="67"/>
      <c r="P86" s="67" t="s">
        <v>49</v>
      </c>
      <c r="Q86" s="67" t="s">
        <v>77</v>
      </c>
      <c r="R86" s="67" t="s">
        <v>385</v>
      </c>
      <c r="U86" t="s">
        <v>78</v>
      </c>
    </row>
    <row r="87" spans="1:21" ht="49.5" customHeight="1" x14ac:dyDescent="0.35">
      <c r="A87" s="67">
        <v>106</v>
      </c>
      <c r="B87" s="67">
        <v>13</v>
      </c>
      <c r="C87" s="67" t="s">
        <v>378</v>
      </c>
      <c r="D87" s="67">
        <v>2025</v>
      </c>
      <c r="E87" s="67" t="s">
        <v>117</v>
      </c>
      <c r="F87" s="67" t="s">
        <v>379</v>
      </c>
      <c r="G87" s="67" t="s">
        <v>44</v>
      </c>
      <c r="H87" s="67" t="s">
        <v>386</v>
      </c>
      <c r="I87" s="67" t="s">
        <v>387</v>
      </c>
      <c r="J87" s="67" t="s">
        <v>263</v>
      </c>
      <c r="K87" s="67" t="s">
        <v>141</v>
      </c>
      <c r="L87" s="67"/>
      <c r="M87" s="67"/>
      <c r="N87" s="67" t="s">
        <v>388</v>
      </c>
      <c r="O87" s="67" t="s">
        <v>389</v>
      </c>
      <c r="P87" s="67" t="s">
        <v>49</v>
      </c>
      <c r="Q87" s="67" t="s">
        <v>77</v>
      </c>
      <c r="R87" s="67" t="s">
        <v>390</v>
      </c>
      <c r="U87" t="s">
        <v>78</v>
      </c>
    </row>
    <row r="88" spans="1:21" ht="49.5" customHeight="1" x14ac:dyDescent="0.35">
      <c r="A88" s="67">
        <v>107</v>
      </c>
      <c r="B88" s="67">
        <v>13</v>
      </c>
      <c r="C88" s="67" t="s">
        <v>378</v>
      </c>
      <c r="D88" s="67">
        <v>2025</v>
      </c>
      <c r="E88" s="67" t="s">
        <v>117</v>
      </c>
      <c r="F88" s="67" t="s">
        <v>379</v>
      </c>
      <c r="G88" s="67" t="s">
        <v>44</v>
      </c>
      <c r="H88" s="67" t="s">
        <v>391</v>
      </c>
      <c r="I88" s="67" t="s">
        <v>392</v>
      </c>
      <c r="J88" s="67" t="s">
        <v>56</v>
      </c>
      <c r="K88" s="67" t="s">
        <v>63</v>
      </c>
      <c r="L88" s="67"/>
      <c r="M88" s="67" t="s">
        <v>48</v>
      </c>
      <c r="N88" s="67" t="s">
        <v>393</v>
      </c>
      <c r="O88" s="67" t="s">
        <v>394</v>
      </c>
      <c r="P88" s="67" t="s">
        <v>49</v>
      </c>
      <c r="Q88" s="67" t="s">
        <v>77</v>
      </c>
      <c r="R88" s="67" t="s">
        <v>395</v>
      </c>
      <c r="U88" t="s">
        <v>78</v>
      </c>
    </row>
    <row r="89" spans="1:21" ht="49.5" customHeight="1" x14ac:dyDescent="0.35">
      <c r="A89" s="67">
        <v>108</v>
      </c>
      <c r="B89" s="67">
        <v>13</v>
      </c>
      <c r="C89" s="67" t="s">
        <v>378</v>
      </c>
      <c r="D89" s="67">
        <v>2025</v>
      </c>
      <c r="E89" s="67" t="s">
        <v>117</v>
      </c>
      <c r="F89" s="67" t="s">
        <v>379</v>
      </c>
      <c r="G89" s="67" t="s">
        <v>44</v>
      </c>
      <c r="H89" s="67" t="s">
        <v>396</v>
      </c>
      <c r="I89" s="67" t="s">
        <v>397</v>
      </c>
      <c r="J89" s="67" t="s">
        <v>59</v>
      </c>
      <c r="K89" s="67"/>
      <c r="L89" s="67"/>
      <c r="M89" s="67" t="s">
        <v>48</v>
      </c>
      <c r="N89" s="67" t="s">
        <v>398</v>
      </c>
      <c r="O89" s="67"/>
      <c r="P89" s="67" t="s">
        <v>49</v>
      </c>
      <c r="Q89" s="67" t="s">
        <v>77</v>
      </c>
      <c r="R89" s="67" t="s">
        <v>399</v>
      </c>
      <c r="U89" t="s">
        <v>78</v>
      </c>
    </row>
    <row r="90" spans="1:21" ht="49.5" customHeight="1" x14ac:dyDescent="0.35">
      <c r="A90" s="67">
        <v>109</v>
      </c>
      <c r="B90" s="67">
        <v>13</v>
      </c>
      <c r="C90" s="67" t="s">
        <v>378</v>
      </c>
      <c r="D90" s="67">
        <v>2025</v>
      </c>
      <c r="E90" s="67" t="s">
        <v>117</v>
      </c>
      <c r="F90" s="67" t="s">
        <v>379</v>
      </c>
      <c r="G90" s="67" t="s">
        <v>44</v>
      </c>
      <c r="H90" s="67" t="s">
        <v>400</v>
      </c>
      <c r="I90" s="67" t="s">
        <v>401</v>
      </c>
      <c r="J90" s="67" t="s">
        <v>56</v>
      </c>
      <c r="K90" s="67"/>
      <c r="L90" s="67"/>
      <c r="M90" s="67" t="s">
        <v>48</v>
      </c>
      <c r="N90" s="67" t="s">
        <v>402</v>
      </c>
      <c r="O90" s="67"/>
      <c r="P90" s="67" t="s">
        <v>49</v>
      </c>
      <c r="Q90" s="67" t="s">
        <v>77</v>
      </c>
      <c r="R90" s="67" t="s">
        <v>403</v>
      </c>
      <c r="U90" t="s">
        <v>78</v>
      </c>
    </row>
    <row r="91" spans="1:21" ht="49.5" customHeight="1" x14ac:dyDescent="0.35">
      <c r="A91" s="67">
        <v>110</v>
      </c>
      <c r="B91" s="67">
        <v>13</v>
      </c>
      <c r="C91" s="67" t="s">
        <v>378</v>
      </c>
      <c r="D91" s="67">
        <v>2025</v>
      </c>
      <c r="E91" s="67" t="s">
        <v>117</v>
      </c>
      <c r="F91" s="67" t="s">
        <v>379</v>
      </c>
      <c r="G91" s="67" t="s">
        <v>44</v>
      </c>
      <c r="H91" s="67" t="s">
        <v>404</v>
      </c>
      <c r="I91" s="67" t="s">
        <v>405</v>
      </c>
      <c r="J91" s="67" t="s">
        <v>99</v>
      </c>
      <c r="K91" s="67"/>
      <c r="L91" s="67"/>
      <c r="M91" s="67" t="s">
        <v>81</v>
      </c>
      <c r="N91" s="67" t="s">
        <v>406</v>
      </c>
      <c r="O91" s="67"/>
      <c r="P91" s="67" t="s">
        <v>49</v>
      </c>
      <c r="Q91" s="67" t="s">
        <v>77</v>
      </c>
      <c r="R91" s="67" t="s">
        <v>407</v>
      </c>
      <c r="U91" t="s">
        <v>78</v>
      </c>
    </row>
    <row r="92" spans="1:21" ht="49.5" customHeight="1" x14ac:dyDescent="0.35">
      <c r="A92" s="68">
        <v>111</v>
      </c>
      <c r="B92" s="50" t="s">
        <v>408</v>
      </c>
      <c r="C92" s="30" t="s">
        <v>409</v>
      </c>
      <c r="D92" s="31" t="s">
        <v>305</v>
      </c>
      <c r="E92" s="31" t="s">
        <v>42</v>
      </c>
      <c r="F92" s="51" t="s">
        <v>410</v>
      </c>
      <c r="G92" s="52" t="s">
        <v>411</v>
      </c>
      <c r="H92" s="67" t="s">
        <v>246</v>
      </c>
      <c r="I92" s="67" t="s">
        <v>412</v>
      </c>
      <c r="J92" s="68" t="s">
        <v>47</v>
      </c>
      <c r="K92" s="67" t="s">
        <v>184</v>
      </c>
      <c r="L92" s="67" t="s">
        <v>184</v>
      </c>
      <c r="M92" s="67" t="s">
        <v>48</v>
      </c>
      <c r="N92" s="68" t="s">
        <v>413</v>
      </c>
      <c r="P92" s="12"/>
      <c r="Q92" s="12"/>
      <c r="R92" s="12"/>
    </row>
    <row r="93" spans="1:21" ht="49.5" customHeight="1" x14ac:dyDescent="0.35">
      <c r="A93" s="68">
        <v>112</v>
      </c>
      <c r="B93" s="50" t="s">
        <v>408</v>
      </c>
      <c r="C93" s="30" t="s">
        <v>409</v>
      </c>
      <c r="D93" s="31" t="s">
        <v>309</v>
      </c>
      <c r="E93" s="31" t="s">
        <v>42</v>
      </c>
      <c r="F93" s="51" t="s">
        <v>410</v>
      </c>
      <c r="G93" s="52" t="s">
        <v>411</v>
      </c>
      <c r="H93" s="67" t="s">
        <v>414</v>
      </c>
      <c r="I93" s="67" t="s">
        <v>415</v>
      </c>
      <c r="J93" s="68" t="s">
        <v>47</v>
      </c>
      <c r="K93" s="67" t="s">
        <v>184</v>
      </c>
      <c r="L93" s="67" t="s">
        <v>184</v>
      </c>
      <c r="M93" s="67" t="s">
        <v>184</v>
      </c>
      <c r="N93" s="68" t="s">
        <v>416</v>
      </c>
      <c r="P93" s="5"/>
      <c r="Q93" s="5"/>
      <c r="R93" s="5"/>
    </row>
    <row r="94" spans="1:21" ht="49.5" customHeight="1" x14ac:dyDescent="0.35">
      <c r="A94" s="68">
        <v>113</v>
      </c>
      <c r="B94" s="50" t="s">
        <v>408</v>
      </c>
      <c r="C94" s="30" t="s">
        <v>409</v>
      </c>
      <c r="D94" s="31" t="s">
        <v>313</v>
      </c>
      <c r="E94" s="31" t="s">
        <v>42</v>
      </c>
      <c r="F94" s="51" t="s">
        <v>410</v>
      </c>
      <c r="G94" s="52" t="s">
        <v>411</v>
      </c>
      <c r="H94" s="67" t="s">
        <v>417</v>
      </c>
      <c r="I94" s="67" t="s">
        <v>418</v>
      </c>
      <c r="J94" s="68" t="s">
        <v>99</v>
      </c>
      <c r="K94" s="67" t="s">
        <v>184</v>
      </c>
      <c r="L94" s="67" t="s">
        <v>184</v>
      </c>
      <c r="M94" s="67" t="s">
        <v>184</v>
      </c>
      <c r="N94" s="68" t="s">
        <v>419</v>
      </c>
      <c r="P94" s="12"/>
      <c r="Q94" s="12"/>
      <c r="R94" s="12"/>
    </row>
    <row r="95" spans="1:21" ht="49.5" customHeight="1" x14ac:dyDescent="0.35">
      <c r="A95" s="68">
        <v>114</v>
      </c>
      <c r="B95" s="50" t="s">
        <v>408</v>
      </c>
      <c r="C95" s="30" t="s">
        <v>409</v>
      </c>
      <c r="D95" s="31" t="s">
        <v>317</v>
      </c>
      <c r="E95" s="31" t="s">
        <v>42</v>
      </c>
      <c r="F95" s="51" t="s">
        <v>410</v>
      </c>
      <c r="G95" s="52" t="s">
        <v>411</v>
      </c>
      <c r="H95" s="67" t="s">
        <v>420</v>
      </c>
      <c r="I95" s="67" t="s">
        <v>421</v>
      </c>
      <c r="J95" s="68" t="s">
        <v>59</v>
      </c>
      <c r="K95" s="67" t="s">
        <v>184</v>
      </c>
      <c r="L95" s="67" t="s">
        <v>184</v>
      </c>
      <c r="M95" s="67" t="s">
        <v>48</v>
      </c>
      <c r="N95" s="68" t="s">
        <v>422</v>
      </c>
      <c r="P95" s="5"/>
      <c r="Q95" s="5"/>
      <c r="R95" s="5"/>
    </row>
    <row r="96" spans="1:21" ht="49.5" customHeight="1" x14ac:dyDescent="0.35">
      <c r="A96" s="68">
        <v>115</v>
      </c>
      <c r="B96" s="50" t="s">
        <v>408</v>
      </c>
      <c r="C96" s="30" t="s">
        <v>409</v>
      </c>
      <c r="D96" s="31" t="s">
        <v>423</v>
      </c>
      <c r="E96" s="31" t="s">
        <v>42</v>
      </c>
      <c r="F96" s="51" t="s">
        <v>410</v>
      </c>
      <c r="G96" s="52" t="s">
        <v>411</v>
      </c>
      <c r="H96" s="67" t="s">
        <v>424</v>
      </c>
      <c r="I96" s="67" t="s">
        <v>425</v>
      </c>
      <c r="J96" s="68" t="s">
        <v>133</v>
      </c>
      <c r="K96" s="67" t="s">
        <v>184</v>
      </c>
      <c r="L96" s="67" t="s">
        <v>184</v>
      </c>
      <c r="M96" s="67" t="s">
        <v>81</v>
      </c>
      <c r="N96" s="68" t="s">
        <v>426</v>
      </c>
      <c r="P96" s="12"/>
      <c r="Q96" s="12"/>
      <c r="R96" s="12"/>
    </row>
    <row r="97" spans="1:18" ht="49.5" customHeight="1" x14ac:dyDescent="0.35">
      <c r="A97" s="68">
        <v>116</v>
      </c>
      <c r="B97" s="50" t="s">
        <v>408</v>
      </c>
      <c r="C97" s="30" t="s">
        <v>409</v>
      </c>
      <c r="D97" s="31" t="s">
        <v>427</v>
      </c>
      <c r="E97" s="31" t="s">
        <v>42</v>
      </c>
      <c r="F97" s="51" t="s">
        <v>410</v>
      </c>
      <c r="G97" s="52" t="s">
        <v>411</v>
      </c>
      <c r="H97" s="67" t="s">
        <v>428</v>
      </c>
      <c r="I97" s="67" t="s">
        <v>429</v>
      </c>
      <c r="J97" s="68" t="s">
        <v>56</v>
      </c>
      <c r="K97" s="67" t="s">
        <v>184</v>
      </c>
      <c r="L97" s="67" t="s">
        <v>184</v>
      </c>
      <c r="M97" s="67" t="s">
        <v>48</v>
      </c>
      <c r="N97" s="68" t="s">
        <v>430</v>
      </c>
      <c r="P97" s="5"/>
      <c r="Q97" s="5"/>
      <c r="R97" s="5"/>
    </row>
    <row r="98" spans="1:18" ht="49.5" customHeight="1" x14ac:dyDescent="0.35">
      <c r="A98" s="68">
        <v>117</v>
      </c>
      <c r="B98" s="50" t="s">
        <v>408</v>
      </c>
      <c r="C98" s="30" t="s">
        <v>409</v>
      </c>
      <c r="D98" s="31" t="s">
        <v>431</v>
      </c>
      <c r="E98" s="31" t="s">
        <v>42</v>
      </c>
      <c r="F98" s="51" t="s">
        <v>410</v>
      </c>
      <c r="G98" s="52" t="s">
        <v>411</v>
      </c>
      <c r="H98" s="67" t="s">
        <v>432</v>
      </c>
      <c r="I98" s="67" t="s">
        <v>433</v>
      </c>
      <c r="J98" s="68" t="s">
        <v>56</v>
      </c>
      <c r="K98" s="67" t="s">
        <v>184</v>
      </c>
      <c r="L98" s="67" t="s">
        <v>184</v>
      </c>
      <c r="M98" s="67" t="s">
        <v>48</v>
      </c>
      <c r="N98" s="68" t="s">
        <v>434</v>
      </c>
      <c r="P98" s="12"/>
      <c r="Q98" s="12"/>
      <c r="R98" s="12"/>
    </row>
    <row r="99" spans="1:18" ht="49.5" customHeight="1" x14ac:dyDescent="0.35">
      <c r="A99" s="68">
        <v>118</v>
      </c>
      <c r="B99" s="50" t="s">
        <v>408</v>
      </c>
      <c r="C99" s="30" t="s">
        <v>409</v>
      </c>
      <c r="D99" s="31" t="s">
        <v>435</v>
      </c>
      <c r="E99" s="31" t="s">
        <v>42</v>
      </c>
      <c r="F99" s="51" t="s">
        <v>410</v>
      </c>
      <c r="G99" s="52" t="s">
        <v>411</v>
      </c>
      <c r="H99" s="67" t="s">
        <v>436</v>
      </c>
      <c r="I99" s="67" t="s">
        <v>437</v>
      </c>
      <c r="J99" s="68" t="s">
        <v>56</v>
      </c>
      <c r="K99" s="67" t="s">
        <v>184</v>
      </c>
      <c r="L99" s="67" t="s">
        <v>184</v>
      </c>
      <c r="M99" s="67" t="s">
        <v>48</v>
      </c>
      <c r="N99" s="68" t="s">
        <v>438</v>
      </c>
      <c r="P99" s="5"/>
      <c r="Q99" s="5"/>
      <c r="R99" s="5"/>
    </row>
    <row r="100" spans="1:18" ht="49.5" customHeight="1" x14ac:dyDescent="0.35">
      <c r="A100" s="68">
        <v>119</v>
      </c>
      <c r="B100" s="50" t="s">
        <v>408</v>
      </c>
      <c r="C100" s="30" t="s">
        <v>409</v>
      </c>
      <c r="D100" s="31" t="s">
        <v>439</v>
      </c>
      <c r="E100" s="31" t="s">
        <v>42</v>
      </c>
      <c r="F100" s="51" t="s">
        <v>410</v>
      </c>
      <c r="G100" s="52" t="s">
        <v>411</v>
      </c>
      <c r="H100" s="67" t="s">
        <v>436</v>
      </c>
      <c r="I100" s="67" t="s">
        <v>440</v>
      </c>
      <c r="J100" s="68" t="s">
        <v>56</v>
      </c>
      <c r="K100" s="67" t="s">
        <v>184</v>
      </c>
      <c r="L100" s="67" t="s">
        <v>184</v>
      </c>
      <c r="M100" s="67" t="s">
        <v>48</v>
      </c>
      <c r="N100" s="68" t="s">
        <v>441</v>
      </c>
      <c r="P100" s="12"/>
      <c r="Q100" s="12"/>
      <c r="R100" s="12"/>
    </row>
    <row r="101" spans="1:18" ht="49.5" customHeight="1" x14ac:dyDescent="0.35">
      <c r="A101" s="68">
        <v>120</v>
      </c>
      <c r="B101" s="50" t="s">
        <v>408</v>
      </c>
      <c r="C101" s="30" t="s">
        <v>409</v>
      </c>
      <c r="D101" s="31" t="s">
        <v>442</v>
      </c>
      <c r="E101" s="31" t="s">
        <v>42</v>
      </c>
      <c r="F101" s="51" t="s">
        <v>410</v>
      </c>
      <c r="G101" s="52" t="s">
        <v>411</v>
      </c>
      <c r="H101" s="67" t="s">
        <v>443</v>
      </c>
      <c r="I101" s="67" t="s">
        <v>444</v>
      </c>
      <c r="J101" s="68" t="s">
        <v>59</v>
      </c>
      <c r="K101" s="68" t="s">
        <v>133</v>
      </c>
      <c r="L101" s="67" t="s">
        <v>184</v>
      </c>
      <c r="M101" s="67" t="s">
        <v>48</v>
      </c>
      <c r="N101" s="68" t="s">
        <v>445</v>
      </c>
      <c r="P101" s="5"/>
      <c r="Q101" s="5"/>
      <c r="R101" s="5"/>
    </row>
    <row r="102" spans="1:18" ht="49.5" customHeight="1" x14ac:dyDescent="0.35">
      <c r="A102" s="68">
        <v>121</v>
      </c>
      <c r="B102" s="50" t="s">
        <v>408</v>
      </c>
      <c r="C102" s="30" t="s">
        <v>409</v>
      </c>
      <c r="D102" s="31" t="s">
        <v>446</v>
      </c>
      <c r="E102" s="31" t="s">
        <v>42</v>
      </c>
      <c r="F102" s="51" t="s">
        <v>410</v>
      </c>
      <c r="G102" s="52" t="s">
        <v>411</v>
      </c>
      <c r="H102" s="67" t="s">
        <v>447</v>
      </c>
      <c r="I102" s="67" t="s">
        <v>448</v>
      </c>
      <c r="J102" s="68" t="s">
        <v>99</v>
      </c>
      <c r="K102" s="67" t="s">
        <v>184</v>
      </c>
      <c r="L102" s="67" t="s">
        <v>184</v>
      </c>
      <c r="M102" s="67" t="s">
        <v>184</v>
      </c>
      <c r="N102" s="68" t="s">
        <v>449</v>
      </c>
      <c r="P102" s="12"/>
      <c r="Q102" s="12"/>
      <c r="R102" s="12"/>
    </row>
    <row r="103" spans="1:18" ht="49.5" customHeight="1" x14ac:dyDescent="0.35">
      <c r="A103" s="68">
        <v>122</v>
      </c>
      <c r="B103" s="50" t="s">
        <v>408</v>
      </c>
      <c r="C103" s="30" t="s">
        <v>409</v>
      </c>
      <c r="D103" s="31" t="s">
        <v>450</v>
      </c>
      <c r="E103" s="31" t="s">
        <v>42</v>
      </c>
      <c r="F103" s="51" t="s">
        <v>410</v>
      </c>
      <c r="G103" s="52" t="s">
        <v>411</v>
      </c>
      <c r="H103" s="67" t="s">
        <v>451</v>
      </c>
      <c r="I103" s="67" t="s">
        <v>452</v>
      </c>
      <c r="J103" s="68" t="s">
        <v>141</v>
      </c>
      <c r="K103" s="68" t="s">
        <v>99</v>
      </c>
      <c r="L103" s="67" t="s">
        <v>184</v>
      </c>
      <c r="M103" s="67" t="s">
        <v>184</v>
      </c>
      <c r="N103" s="68" t="s">
        <v>453</v>
      </c>
      <c r="P103" s="5"/>
      <c r="Q103" s="5"/>
      <c r="R103" s="5" t="s">
        <v>454</v>
      </c>
    </row>
    <row r="104" spans="1:18" ht="49.5" customHeight="1" x14ac:dyDescent="0.35">
      <c r="A104" s="68">
        <v>123</v>
      </c>
      <c r="B104" s="4" t="s">
        <v>455</v>
      </c>
      <c r="C104" s="5" t="s">
        <v>456</v>
      </c>
      <c r="D104" s="6" t="s">
        <v>71</v>
      </c>
      <c r="E104" s="6" t="s">
        <v>117</v>
      </c>
      <c r="F104" s="59" t="s">
        <v>457</v>
      </c>
      <c r="G104" s="60" t="s">
        <v>44</v>
      </c>
      <c r="H104" s="67" t="s">
        <v>458</v>
      </c>
      <c r="I104" s="67" t="s">
        <v>459</v>
      </c>
      <c r="J104" s="68" t="s">
        <v>263</v>
      </c>
      <c r="K104" s="67" t="s">
        <v>184</v>
      </c>
      <c r="L104" s="67" t="s">
        <v>184</v>
      </c>
      <c r="M104" s="67" t="s">
        <v>184</v>
      </c>
      <c r="N104" s="68" t="s">
        <v>460</v>
      </c>
      <c r="O104" s="12"/>
      <c r="P104" s="12"/>
      <c r="Q104" s="12"/>
      <c r="R104" s="12"/>
    </row>
    <row r="105" spans="1:18" ht="49.5" customHeight="1" x14ac:dyDescent="0.35">
      <c r="A105" s="68">
        <v>124</v>
      </c>
      <c r="B105" s="4" t="s">
        <v>455</v>
      </c>
      <c r="C105" s="5" t="s">
        <v>456</v>
      </c>
      <c r="D105" s="6" t="s">
        <v>94</v>
      </c>
      <c r="E105" s="6" t="s">
        <v>117</v>
      </c>
      <c r="F105" s="59" t="s">
        <v>457</v>
      </c>
      <c r="G105" s="60" t="s">
        <v>44</v>
      </c>
      <c r="H105" s="67" t="s">
        <v>461</v>
      </c>
      <c r="I105" s="67" t="s">
        <v>462</v>
      </c>
      <c r="J105" s="68" t="s">
        <v>56</v>
      </c>
      <c r="K105" s="68" t="s">
        <v>248</v>
      </c>
      <c r="L105" s="67" t="s">
        <v>184</v>
      </c>
      <c r="M105" s="67" t="s">
        <v>184</v>
      </c>
      <c r="N105" s="68" t="s">
        <v>463</v>
      </c>
      <c r="O105" s="12"/>
      <c r="P105" s="12"/>
      <c r="Q105" s="12"/>
      <c r="R105" s="12"/>
    </row>
    <row r="106" spans="1:18" ht="49.5" customHeight="1" x14ac:dyDescent="0.35">
      <c r="A106" s="68">
        <v>125</v>
      </c>
      <c r="B106" s="4" t="s">
        <v>455</v>
      </c>
      <c r="C106" s="5" t="s">
        <v>456</v>
      </c>
      <c r="D106" s="6" t="s">
        <v>236</v>
      </c>
      <c r="E106" s="6" t="s">
        <v>117</v>
      </c>
      <c r="F106" s="59" t="s">
        <v>457</v>
      </c>
      <c r="G106" s="60" t="s">
        <v>44</v>
      </c>
      <c r="H106" s="67" t="s">
        <v>461</v>
      </c>
      <c r="I106" s="67" t="s">
        <v>464</v>
      </c>
      <c r="J106" s="68" t="s">
        <v>56</v>
      </c>
      <c r="K106" s="68" t="s">
        <v>248</v>
      </c>
      <c r="L106" s="67" t="s">
        <v>184</v>
      </c>
      <c r="M106" s="67" t="s">
        <v>184</v>
      </c>
      <c r="N106" s="68" t="s">
        <v>465</v>
      </c>
      <c r="O106" s="5"/>
      <c r="P106" s="5"/>
      <c r="Q106" s="5"/>
      <c r="R106" s="5"/>
    </row>
    <row r="107" spans="1:18" ht="49.5" customHeight="1" x14ac:dyDescent="0.35">
      <c r="A107" s="68">
        <v>126</v>
      </c>
      <c r="B107" s="4" t="s">
        <v>455</v>
      </c>
      <c r="C107" s="5" t="s">
        <v>456</v>
      </c>
      <c r="D107" s="6" t="s">
        <v>305</v>
      </c>
      <c r="E107" s="6" t="s">
        <v>117</v>
      </c>
      <c r="F107" s="59" t="s">
        <v>457</v>
      </c>
      <c r="G107" s="60" t="s">
        <v>44</v>
      </c>
      <c r="H107" s="67" t="s">
        <v>466</v>
      </c>
      <c r="I107" s="67" t="s">
        <v>467</v>
      </c>
      <c r="J107" s="68" t="s">
        <v>248</v>
      </c>
      <c r="K107" s="68" t="s">
        <v>63</v>
      </c>
      <c r="L107" s="67" t="s">
        <v>184</v>
      </c>
      <c r="M107" s="67" t="s">
        <v>48</v>
      </c>
      <c r="N107" s="68" t="s">
        <v>468</v>
      </c>
      <c r="O107" s="12"/>
      <c r="P107" s="12"/>
      <c r="Q107" s="12"/>
      <c r="R107" s="12"/>
    </row>
    <row r="108" spans="1:18" ht="49.5" customHeight="1" x14ac:dyDescent="0.35">
      <c r="A108" s="68">
        <v>127</v>
      </c>
      <c r="B108" s="4" t="s">
        <v>455</v>
      </c>
      <c r="C108" s="5" t="s">
        <v>456</v>
      </c>
      <c r="D108" s="6" t="s">
        <v>305</v>
      </c>
      <c r="E108" s="6" t="s">
        <v>117</v>
      </c>
      <c r="F108" s="59" t="s">
        <v>457</v>
      </c>
      <c r="G108" s="60" t="s">
        <v>44</v>
      </c>
      <c r="H108" s="67" t="s">
        <v>469</v>
      </c>
      <c r="I108" s="67" t="s">
        <v>470</v>
      </c>
      <c r="J108" s="68" t="s">
        <v>248</v>
      </c>
      <c r="K108" s="67" t="s">
        <v>184</v>
      </c>
      <c r="L108" s="67" t="s">
        <v>184</v>
      </c>
      <c r="M108" s="67" t="s">
        <v>184</v>
      </c>
      <c r="N108" s="68" t="s">
        <v>471</v>
      </c>
      <c r="O108" s="5"/>
      <c r="P108" s="5"/>
      <c r="Q108" s="5"/>
      <c r="R108" s="5"/>
    </row>
    <row r="109" spans="1:18" ht="49.5" customHeight="1" x14ac:dyDescent="0.35">
      <c r="A109" s="68">
        <v>128</v>
      </c>
      <c r="B109" s="4" t="s">
        <v>455</v>
      </c>
      <c r="C109" s="5" t="s">
        <v>456</v>
      </c>
      <c r="D109" s="6" t="s">
        <v>305</v>
      </c>
      <c r="E109" s="6" t="s">
        <v>117</v>
      </c>
      <c r="F109" s="59" t="s">
        <v>457</v>
      </c>
      <c r="G109" s="60" t="s">
        <v>44</v>
      </c>
      <c r="H109" s="67" t="s">
        <v>472</v>
      </c>
      <c r="I109" s="67" t="s">
        <v>473</v>
      </c>
      <c r="J109" s="68" t="s">
        <v>248</v>
      </c>
      <c r="K109" s="68" t="s">
        <v>63</v>
      </c>
      <c r="L109" s="67" t="s">
        <v>184</v>
      </c>
      <c r="M109" s="67" t="s">
        <v>48</v>
      </c>
      <c r="N109" s="68" t="s">
        <v>474</v>
      </c>
      <c r="O109" s="12"/>
      <c r="P109" s="12"/>
      <c r="Q109" s="12"/>
      <c r="R109" s="12"/>
    </row>
    <row r="110" spans="1:18" ht="49.5" customHeight="1" x14ac:dyDescent="0.35">
      <c r="A110" s="68">
        <v>129</v>
      </c>
      <c r="B110" s="4" t="s">
        <v>455</v>
      </c>
      <c r="C110" s="5" t="s">
        <v>456</v>
      </c>
      <c r="D110" s="6" t="s">
        <v>305</v>
      </c>
      <c r="E110" s="6" t="s">
        <v>117</v>
      </c>
      <c r="F110" s="59" t="s">
        <v>457</v>
      </c>
      <c r="G110" s="60" t="s">
        <v>44</v>
      </c>
      <c r="H110" s="67" t="s">
        <v>472</v>
      </c>
      <c r="I110" s="67" t="s">
        <v>475</v>
      </c>
      <c r="J110" s="68" t="s">
        <v>248</v>
      </c>
      <c r="K110" s="68" t="s">
        <v>263</v>
      </c>
      <c r="L110" s="67" t="s">
        <v>184</v>
      </c>
      <c r="M110" s="67" t="s">
        <v>184</v>
      </c>
      <c r="N110" s="68" t="s">
        <v>476</v>
      </c>
      <c r="O110" s="5"/>
      <c r="P110" s="5"/>
      <c r="Q110" s="5"/>
      <c r="R110" s="5"/>
    </row>
    <row r="111" spans="1:18" ht="49.5" customHeight="1" x14ac:dyDescent="0.35">
      <c r="A111" s="68">
        <v>130</v>
      </c>
      <c r="B111" s="4" t="s">
        <v>455</v>
      </c>
      <c r="C111" s="5" t="s">
        <v>456</v>
      </c>
      <c r="D111" s="6" t="s">
        <v>305</v>
      </c>
      <c r="E111" s="6" t="s">
        <v>117</v>
      </c>
      <c r="F111" s="59" t="s">
        <v>457</v>
      </c>
      <c r="G111" s="60" t="s">
        <v>44</v>
      </c>
      <c r="H111" s="67" t="s">
        <v>477</v>
      </c>
      <c r="I111" s="67" t="s">
        <v>478</v>
      </c>
      <c r="J111" s="68" t="s">
        <v>176</v>
      </c>
      <c r="K111" s="68" t="s">
        <v>479</v>
      </c>
      <c r="L111" s="67" t="s">
        <v>184</v>
      </c>
      <c r="M111" s="67" t="s">
        <v>184</v>
      </c>
      <c r="N111" s="68" t="s">
        <v>480</v>
      </c>
      <c r="O111" s="12"/>
      <c r="P111" s="12"/>
      <c r="Q111" s="12"/>
      <c r="R111" s="12"/>
    </row>
    <row r="112" spans="1:18" ht="49.5" customHeight="1" x14ac:dyDescent="0.35">
      <c r="A112" s="68">
        <v>131</v>
      </c>
      <c r="B112" s="4" t="s">
        <v>455</v>
      </c>
      <c r="C112" s="5" t="s">
        <v>456</v>
      </c>
      <c r="D112" s="6" t="s">
        <v>305</v>
      </c>
      <c r="E112" s="6" t="s">
        <v>117</v>
      </c>
      <c r="F112" s="59" t="s">
        <v>457</v>
      </c>
      <c r="G112" s="60" t="s">
        <v>44</v>
      </c>
      <c r="H112" s="67" t="s">
        <v>481</v>
      </c>
      <c r="I112" s="67" t="s">
        <v>482</v>
      </c>
      <c r="J112" s="68" t="s">
        <v>263</v>
      </c>
      <c r="K112" s="67" t="s">
        <v>184</v>
      </c>
      <c r="L112" s="67" t="s">
        <v>184</v>
      </c>
      <c r="M112" s="67" t="s">
        <v>48</v>
      </c>
      <c r="N112" s="68" t="s">
        <v>483</v>
      </c>
      <c r="O112" s="5"/>
      <c r="P112" s="5"/>
      <c r="Q112" s="5"/>
      <c r="R112" s="5"/>
    </row>
    <row r="113" spans="1:20" ht="49.5" customHeight="1" x14ac:dyDescent="0.35">
      <c r="A113" s="68">
        <v>132</v>
      </c>
      <c r="B113" s="4" t="s">
        <v>455</v>
      </c>
      <c r="C113" s="5" t="s">
        <v>456</v>
      </c>
      <c r="D113" s="6" t="s">
        <v>305</v>
      </c>
      <c r="E113" s="6" t="s">
        <v>117</v>
      </c>
      <c r="F113" s="59" t="s">
        <v>457</v>
      </c>
      <c r="G113" s="60" t="s">
        <v>44</v>
      </c>
      <c r="H113" s="67" t="s">
        <v>484</v>
      </c>
      <c r="I113" s="67" t="s">
        <v>485</v>
      </c>
      <c r="J113" s="68" t="s">
        <v>99</v>
      </c>
      <c r="K113" s="68" t="s">
        <v>59</v>
      </c>
      <c r="L113" s="67" t="s">
        <v>184</v>
      </c>
      <c r="M113" s="67" t="s">
        <v>48</v>
      </c>
      <c r="N113" s="68" t="s">
        <v>486</v>
      </c>
      <c r="O113" s="12"/>
      <c r="P113" s="12"/>
      <c r="Q113" s="12"/>
      <c r="R113" s="12" t="s">
        <v>487</v>
      </c>
    </row>
    <row r="114" spans="1:20" ht="49.5" customHeight="1" x14ac:dyDescent="0.35">
      <c r="A114" s="68">
        <v>133</v>
      </c>
      <c r="B114" s="67">
        <v>21</v>
      </c>
      <c r="C114" s="69" t="s">
        <v>488</v>
      </c>
      <c r="D114" s="6" t="s">
        <v>305</v>
      </c>
      <c r="E114" s="69" t="s">
        <v>42</v>
      </c>
      <c r="F114" s="69" t="s">
        <v>489</v>
      </c>
      <c r="G114" s="69" t="s">
        <v>410</v>
      </c>
      <c r="H114" s="67" t="s">
        <v>490</v>
      </c>
      <c r="I114" s="67" t="s">
        <v>491</v>
      </c>
      <c r="J114" s="68" t="s">
        <v>91</v>
      </c>
      <c r="K114" s="67" t="s">
        <v>184</v>
      </c>
      <c r="L114" s="67" t="s">
        <v>184</v>
      </c>
      <c r="M114" s="67" t="s">
        <v>184</v>
      </c>
      <c r="N114" s="68" t="s">
        <v>492</v>
      </c>
      <c r="O114" s="5"/>
      <c r="P114" s="5"/>
      <c r="Q114" s="5"/>
      <c r="R114" s="5"/>
      <c r="S114" t="s">
        <v>493</v>
      </c>
      <c r="T114" t="s">
        <v>494</v>
      </c>
    </row>
    <row r="115" spans="1:20" ht="49.5" customHeight="1" x14ac:dyDescent="0.35">
      <c r="A115" s="68">
        <v>134</v>
      </c>
      <c r="B115" s="67">
        <v>21</v>
      </c>
      <c r="C115" s="69" t="s">
        <v>488</v>
      </c>
      <c r="D115" s="6" t="s">
        <v>305</v>
      </c>
      <c r="E115" s="69" t="s">
        <v>42</v>
      </c>
      <c r="F115" s="69" t="s">
        <v>489</v>
      </c>
      <c r="G115" s="69" t="s">
        <v>410</v>
      </c>
      <c r="H115" s="67" t="s">
        <v>495</v>
      </c>
      <c r="I115" s="67" t="s">
        <v>496</v>
      </c>
      <c r="J115" s="68" t="s">
        <v>141</v>
      </c>
      <c r="K115" s="68" t="s">
        <v>99</v>
      </c>
      <c r="L115" s="67" t="s">
        <v>184</v>
      </c>
      <c r="M115" s="67" t="s">
        <v>184</v>
      </c>
      <c r="N115" s="68" t="s">
        <v>497</v>
      </c>
      <c r="O115" s="12"/>
      <c r="P115" s="12"/>
      <c r="Q115" s="12"/>
      <c r="R115" s="12"/>
      <c r="S115" t="s">
        <v>493</v>
      </c>
      <c r="T115" t="s">
        <v>494</v>
      </c>
    </row>
    <row r="116" spans="1:20" ht="49.5" customHeight="1" x14ac:dyDescent="0.35">
      <c r="A116" s="68">
        <v>135</v>
      </c>
      <c r="B116" s="67">
        <v>21</v>
      </c>
      <c r="C116" s="69" t="s">
        <v>488</v>
      </c>
      <c r="D116" s="6" t="s">
        <v>305</v>
      </c>
      <c r="E116" s="69" t="s">
        <v>42</v>
      </c>
      <c r="F116" s="69" t="s">
        <v>489</v>
      </c>
      <c r="G116" s="69" t="s">
        <v>410</v>
      </c>
      <c r="H116" s="67" t="s">
        <v>498</v>
      </c>
      <c r="I116" s="67" t="s">
        <v>499</v>
      </c>
      <c r="J116" s="68" t="s">
        <v>141</v>
      </c>
      <c r="K116" s="68" t="s">
        <v>99</v>
      </c>
      <c r="L116" s="67" t="s">
        <v>184</v>
      </c>
      <c r="M116" s="67" t="s">
        <v>184</v>
      </c>
      <c r="N116" s="68" t="s">
        <v>500</v>
      </c>
      <c r="O116" s="5"/>
      <c r="P116" s="5"/>
      <c r="Q116" s="5"/>
      <c r="R116" s="5" t="s">
        <v>501</v>
      </c>
      <c r="S116" t="s">
        <v>493</v>
      </c>
      <c r="T116" t="s">
        <v>494</v>
      </c>
    </row>
    <row r="117" spans="1:20" ht="49.5" customHeight="1" x14ac:dyDescent="0.35">
      <c r="A117" s="68">
        <v>136</v>
      </c>
      <c r="B117" s="67">
        <v>25</v>
      </c>
      <c r="C117" s="70" t="s">
        <v>502</v>
      </c>
      <c r="D117" s="6" t="s">
        <v>305</v>
      </c>
      <c r="E117" s="70" t="s">
        <v>144</v>
      </c>
      <c r="F117" s="70" t="s">
        <v>489</v>
      </c>
      <c r="G117" s="70" t="s">
        <v>410</v>
      </c>
      <c r="H117" s="67" t="s">
        <v>503</v>
      </c>
      <c r="I117" s="67" t="s">
        <v>504</v>
      </c>
      <c r="J117" s="68" t="s">
        <v>91</v>
      </c>
      <c r="K117" s="68" t="s">
        <v>505</v>
      </c>
      <c r="L117" s="67" t="s">
        <v>184</v>
      </c>
      <c r="M117" s="67" t="s">
        <v>184</v>
      </c>
      <c r="N117" s="68" t="s">
        <v>506</v>
      </c>
      <c r="O117" s="12"/>
      <c r="P117" s="12"/>
      <c r="Q117" s="12"/>
      <c r="R117" s="12"/>
      <c r="S117" t="s">
        <v>507</v>
      </c>
      <c r="T117" t="s">
        <v>494</v>
      </c>
    </row>
    <row r="118" spans="1:20" ht="49.5" customHeight="1" x14ac:dyDescent="0.35">
      <c r="A118" s="68">
        <v>137</v>
      </c>
      <c r="B118" s="67">
        <v>25</v>
      </c>
      <c r="C118" s="70" t="s">
        <v>502</v>
      </c>
      <c r="D118" s="6" t="s">
        <v>305</v>
      </c>
      <c r="E118" s="70" t="s">
        <v>144</v>
      </c>
      <c r="F118" s="70" t="s">
        <v>489</v>
      </c>
      <c r="G118" s="70" t="s">
        <v>410</v>
      </c>
      <c r="H118" s="67" t="s">
        <v>508</v>
      </c>
      <c r="I118" s="67" t="s">
        <v>509</v>
      </c>
      <c r="J118" s="68" t="s">
        <v>141</v>
      </c>
      <c r="K118" s="68" t="s">
        <v>99</v>
      </c>
      <c r="L118" s="67" t="s">
        <v>184</v>
      </c>
      <c r="M118" s="67" t="s">
        <v>184</v>
      </c>
      <c r="N118" s="68" t="s">
        <v>510</v>
      </c>
      <c r="O118" s="5"/>
      <c r="P118" s="5"/>
      <c r="Q118" s="5"/>
      <c r="R118" s="5"/>
      <c r="S118" t="s">
        <v>507</v>
      </c>
      <c r="T118" t="s">
        <v>494</v>
      </c>
    </row>
    <row r="119" spans="1:20" ht="49.5" customHeight="1" x14ac:dyDescent="0.35">
      <c r="A119" s="68">
        <v>138</v>
      </c>
      <c r="B119" s="67">
        <v>25</v>
      </c>
      <c r="C119" s="70" t="s">
        <v>502</v>
      </c>
      <c r="D119" s="6" t="s">
        <v>305</v>
      </c>
      <c r="E119" s="70" t="s">
        <v>144</v>
      </c>
      <c r="F119" s="70" t="s">
        <v>489</v>
      </c>
      <c r="G119" s="70" t="s">
        <v>410</v>
      </c>
      <c r="H119" s="67" t="s">
        <v>511</v>
      </c>
      <c r="I119" s="67" t="s">
        <v>512</v>
      </c>
      <c r="J119" s="68" t="s">
        <v>99</v>
      </c>
      <c r="K119" s="67" t="s">
        <v>184</v>
      </c>
      <c r="L119" s="67" t="s">
        <v>184</v>
      </c>
      <c r="M119" s="67" t="s">
        <v>184</v>
      </c>
      <c r="N119" s="68" t="s">
        <v>513</v>
      </c>
      <c r="O119" s="12"/>
      <c r="P119" s="12"/>
      <c r="Q119" s="12"/>
      <c r="R119" s="12"/>
      <c r="S119" t="s">
        <v>507</v>
      </c>
      <c r="T119" t="s">
        <v>494</v>
      </c>
    </row>
    <row r="120" spans="1:20" ht="49.5" customHeight="1" x14ac:dyDescent="0.35">
      <c r="A120" s="68">
        <v>139</v>
      </c>
      <c r="B120" s="67">
        <v>25</v>
      </c>
      <c r="C120" s="70" t="s">
        <v>502</v>
      </c>
      <c r="D120" s="6" t="s">
        <v>305</v>
      </c>
      <c r="E120" s="70" t="s">
        <v>144</v>
      </c>
      <c r="F120" s="70" t="s">
        <v>489</v>
      </c>
      <c r="G120" s="70" t="s">
        <v>410</v>
      </c>
      <c r="H120" s="67" t="s">
        <v>514</v>
      </c>
      <c r="I120" s="67" t="s">
        <v>515</v>
      </c>
      <c r="J120" s="68" t="s">
        <v>59</v>
      </c>
      <c r="K120" s="67" t="s">
        <v>184</v>
      </c>
      <c r="L120" s="67" t="s">
        <v>184</v>
      </c>
      <c r="M120" s="67" t="s">
        <v>48</v>
      </c>
      <c r="N120" s="68" t="s">
        <v>516</v>
      </c>
      <c r="O120" s="5"/>
      <c r="P120" s="5"/>
      <c r="Q120" s="5"/>
      <c r="R120" s="5"/>
      <c r="S120" t="s">
        <v>507</v>
      </c>
      <c r="T120" t="s">
        <v>494</v>
      </c>
    </row>
    <row r="121" spans="1:20" ht="49.5" customHeight="1" x14ac:dyDescent="0.35">
      <c r="A121" s="68">
        <v>140</v>
      </c>
      <c r="B121" s="67">
        <v>25</v>
      </c>
      <c r="C121" s="70" t="s">
        <v>502</v>
      </c>
      <c r="D121" s="6" t="s">
        <v>305</v>
      </c>
      <c r="E121" s="70" t="s">
        <v>144</v>
      </c>
      <c r="F121" s="70" t="s">
        <v>489</v>
      </c>
      <c r="G121" s="70" t="s">
        <v>410</v>
      </c>
      <c r="H121" s="67" t="s">
        <v>517</v>
      </c>
      <c r="I121" s="67" t="s">
        <v>518</v>
      </c>
      <c r="J121" s="68" t="s">
        <v>479</v>
      </c>
      <c r="K121" s="67" t="s">
        <v>184</v>
      </c>
      <c r="L121" s="67" t="s">
        <v>184</v>
      </c>
      <c r="M121" s="67" t="s">
        <v>184</v>
      </c>
      <c r="N121" s="68" t="s">
        <v>519</v>
      </c>
      <c r="O121" s="12"/>
      <c r="P121" s="12"/>
      <c r="Q121" s="12"/>
      <c r="R121" s="12"/>
      <c r="S121" t="s">
        <v>507</v>
      </c>
      <c r="T121" t="s">
        <v>494</v>
      </c>
    </row>
    <row r="122" spans="1:20" ht="49.5" customHeight="1" x14ac:dyDescent="0.35">
      <c r="A122" s="68">
        <v>141</v>
      </c>
      <c r="B122" s="67">
        <v>25</v>
      </c>
      <c r="C122" s="70" t="s">
        <v>502</v>
      </c>
      <c r="D122" s="6" t="s">
        <v>305</v>
      </c>
      <c r="E122" s="70" t="s">
        <v>144</v>
      </c>
      <c r="F122" s="70" t="s">
        <v>489</v>
      </c>
      <c r="G122" s="70" t="s">
        <v>410</v>
      </c>
      <c r="H122" s="67" t="s">
        <v>520</v>
      </c>
      <c r="I122" s="67" t="s">
        <v>521</v>
      </c>
      <c r="J122" s="68" t="s">
        <v>56</v>
      </c>
      <c r="K122" s="67" t="s">
        <v>184</v>
      </c>
      <c r="L122" s="67" t="s">
        <v>184</v>
      </c>
      <c r="M122" s="67" t="s">
        <v>48</v>
      </c>
      <c r="N122" s="68" t="s">
        <v>522</v>
      </c>
      <c r="O122" s="5"/>
      <c r="P122" s="5"/>
      <c r="Q122" s="5"/>
      <c r="R122" s="5" t="s">
        <v>523</v>
      </c>
      <c r="S122" t="s">
        <v>507</v>
      </c>
      <c r="T122" t="s">
        <v>494</v>
      </c>
    </row>
    <row r="123" spans="1:20" ht="49.5" customHeight="1" x14ac:dyDescent="0.35">
      <c r="A123" s="68">
        <v>142</v>
      </c>
      <c r="B123" s="67">
        <v>28</v>
      </c>
      <c r="C123" s="30" t="s">
        <v>524</v>
      </c>
      <c r="D123" s="31" t="s">
        <v>236</v>
      </c>
      <c r="E123" s="31" t="s">
        <v>42</v>
      </c>
      <c r="F123" s="51" t="s">
        <v>525</v>
      </c>
      <c r="G123" s="70" t="s">
        <v>410</v>
      </c>
      <c r="H123" s="67" t="s">
        <v>526</v>
      </c>
      <c r="I123" s="67" t="s">
        <v>527</v>
      </c>
      <c r="J123" s="68" t="s">
        <v>99</v>
      </c>
      <c r="K123" s="67" t="s">
        <v>184</v>
      </c>
      <c r="L123" s="67" t="s">
        <v>184</v>
      </c>
      <c r="M123" s="67" t="s">
        <v>184</v>
      </c>
      <c r="N123" s="68" t="s">
        <v>528</v>
      </c>
      <c r="O123" s="12"/>
      <c r="P123" s="12"/>
      <c r="Q123" s="12"/>
      <c r="R123" s="12"/>
    </row>
    <row r="124" spans="1:20" ht="49.5" customHeight="1" x14ac:dyDescent="0.35">
      <c r="A124" s="68">
        <v>143</v>
      </c>
      <c r="B124" s="67">
        <v>28</v>
      </c>
      <c r="C124" s="30" t="s">
        <v>524</v>
      </c>
      <c r="D124" s="31" t="s">
        <v>236</v>
      </c>
      <c r="E124" s="31" t="s">
        <v>42</v>
      </c>
      <c r="F124" s="51" t="s">
        <v>525</v>
      </c>
      <c r="G124" s="70" t="s">
        <v>410</v>
      </c>
      <c r="H124" s="67" t="s">
        <v>529</v>
      </c>
      <c r="I124" s="67" t="s">
        <v>530</v>
      </c>
      <c r="J124" s="68" t="s">
        <v>99</v>
      </c>
      <c r="K124" s="68" t="s">
        <v>141</v>
      </c>
      <c r="L124" s="67" t="s">
        <v>184</v>
      </c>
      <c r="M124" s="67" t="s">
        <v>184</v>
      </c>
      <c r="N124" s="68" t="s">
        <v>531</v>
      </c>
      <c r="O124" s="5"/>
      <c r="P124" s="5"/>
      <c r="Q124" s="5"/>
      <c r="R124" s="5"/>
    </row>
    <row r="125" spans="1:20" ht="49.5" customHeight="1" x14ac:dyDescent="0.35">
      <c r="A125" s="68">
        <v>144</v>
      </c>
      <c r="B125" s="67">
        <v>28</v>
      </c>
      <c r="C125" s="30" t="s">
        <v>524</v>
      </c>
      <c r="D125" s="31" t="s">
        <v>236</v>
      </c>
      <c r="E125" s="31" t="s">
        <v>42</v>
      </c>
      <c r="F125" s="51" t="s">
        <v>525</v>
      </c>
      <c r="G125" s="70" t="s">
        <v>410</v>
      </c>
      <c r="H125" s="67" t="s">
        <v>532</v>
      </c>
      <c r="I125" s="67" t="s">
        <v>533</v>
      </c>
      <c r="J125" s="68" t="s">
        <v>141</v>
      </c>
      <c r="K125" s="67" t="s">
        <v>184</v>
      </c>
      <c r="L125" s="67" t="s">
        <v>184</v>
      </c>
      <c r="M125" s="67" t="s">
        <v>184</v>
      </c>
      <c r="N125" s="68" t="s">
        <v>534</v>
      </c>
      <c r="O125" s="12"/>
      <c r="P125" s="12"/>
      <c r="Q125" s="12"/>
      <c r="R125" s="12"/>
    </row>
    <row r="126" spans="1:20" ht="49.5" customHeight="1" x14ac:dyDescent="0.35">
      <c r="A126" s="68">
        <v>145</v>
      </c>
      <c r="B126" s="67">
        <v>28</v>
      </c>
      <c r="C126" s="30" t="s">
        <v>524</v>
      </c>
      <c r="D126" s="31" t="s">
        <v>236</v>
      </c>
      <c r="E126" s="31" t="s">
        <v>42</v>
      </c>
      <c r="F126" s="51" t="s">
        <v>525</v>
      </c>
      <c r="G126" s="70" t="s">
        <v>410</v>
      </c>
      <c r="H126" s="67" t="s">
        <v>535</v>
      </c>
      <c r="I126" s="67" t="s">
        <v>536</v>
      </c>
      <c r="J126" s="68" t="s">
        <v>56</v>
      </c>
      <c r="K126" s="67" t="s">
        <v>184</v>
      </c>
      <c r="L126" s="67" t="s">
        <v>184</v>
      </c>
      <c r="M126" s="67" t="s">
        <v>48</v>
      </c>
      <c r="N126" s="68" t="s">
        <v>537</v>
      </c>
      <c r="O126" s="5"/>
      <c r="P126" s="5"/>
      <c r="Q126" s="5"/>
      <c r="R126" s="5"/>
    </row>
    <row r="127" spans="1:20" ht="49.5" customHeight="1" x14ac:dyDescent="0.35">
      <c r="A127" s="68">
        <v>146</v>
      </c>
      <c r="B127" s="67">
        <v>28</v>
      </c>
      <c r="C127" s="30" t="s">
        <v>524</v>
      </c>
      <c r="D127" s="31" t="s">
        <v>236</v>
      </c>
      <c r="E127" s="31" t="s">
        <v>42</v>
      </c>
      <c r="F127" s="51" t="s">
        <v>525</v>
      </c>
      <c r="G127" s="70" t="s">
        <v>410</v>
      </c>
      <c r="H127" s="67" t="s">
        <v>538</v>
      </c>
      <c r="I127" s="67" t="s">
        <v>539</v>
      </c>
      <c r="J127" s="68" t="s">
        <v>56</v>
      </c>
      <c r="K127" s="67" t="s">
        <v>184</v>
      </c>
      <c r="L127" s="67" t="s">
        <v>184</v>
      </c>
      <c r="M127" s="67" t="s">
        <v>48</v>
      </c>
      <c r="N127" s="68" t="s">
        <v>540</v>
      </c>
      <c r="O127" s="12"/>
      <c r="P127" s="12"/>
      <c r="Q127" s="12"/>
      <c r="R127" s="12"/>
    </row>
    <row r="128" spans="1:20" ht="49.5" customHeight="1" x14ac:dyDescent="0.35">
      <c r="A128" s="68">
        <v>147</v>
      </c>
      <c r="B128" s="67">
        <v>28</v>
      </c>
      <c r="C128" s="30" t="s">
        <v>524</v>
      </c>
      <c r="D128" s="31" t="s">
        <v>236</v>
      </c>
      <c r="E128" s="31" t="s">
        <v>42</v>
      </c>
      <c r="F128" s="51" t="s">
        <v>525</v>
      </c>
      <c r="G128" s="70" t="s">
        <v>410</v>
      </c>
      <c r="H128" s="67" t="s">
        <v>541</v>
      </c>
      <c r="I128" s="67" t="s">
        <v>542</v>
      </c>
      <c r="J128" s="68" t="s">
        <v>59</v>
      </c>
      <c r="K128" s="68" t="s">
        <v>133</v>
      </c>
      <c r="L128" s="67" t="s">
        <v>184</v>
      </c>
      <c r="M128" s="67" t="s">
        <v>48</v>
      </c>
      <c r="N128" s="68" t="s">
        <v>543</v>
      </c>
      <c r="O128" s="5"/>
      <c r="P128" s="5"/>
      <c r="Q128" s="5"/>
      <c r="R128" s="5"/>
    </row>
    <row r="129" spans="1:21" ht="49.5" customHeight="1" x14ac:dyDescent="0.35">
      <c r="A129" s="67">
        <v>148</v>
      </c>
      <c r="B129" s="67">
        <v>26</v>
      </c>
      <c r="C129" s="67" t="s">
        <v>544</v>
      </c>
      <c r="D129" s="67">
        <v>2024</v>
      </c>
      <c r="E129" s="67" t="s">
        <v>72</v>
      </c>
      <c r="F129" s="67" t="s">
        <v>145</v>
      </c>
      <c r="G129" s="67" t="s">
        <v>44</v>
      </c>
      <c r="H129" s="67" t="s">
        <v>545</v>
      </c>
      <c r="I129" s="67" t="s">
        <v>546</v>
      </c>
      <c r="J129" s="67" t="s">
        <v>47</v>
      </c>
      <c r="K129" s="67" t="s">
        <v>184</v>
      </c>
      <c r="L129" s="67" t="s">
        <v>184</v>
      </c>
      <c r="M129" s="67" t="s">
        <v>184</v>
      </c>
      <c r="N129" s="67" t="s">
        <v>547</v>
      </c>
      <c r="O129" s="67" t="s">
        <v>184</v>
      </c>
      <c r="P129" s="67" t="s">
        <v>49</v>
      </c>
      <c r="Q129" s="67" t="s">
        <v>50</v>
      </c>
      <c r="R129" s="67" t="s">
        <v>548</v>
      </c>
      <c r="U129" t="s">
        <v>51</v>
      </c>
    </row>
    <row r="130" spans="1:21" ht="49.5" customHeight="1" x14ac:dyDescent="0.35">
      <c r="A130" s="67">
        <v>149</v>
      </c>
      <c r="B130" s="67">
        <v>26</v>
      </c>
      <c r="C130" s="67" t="s">
        <v>544</v>
      </c>
      <c r="D130" s="67">
        <v>2024</v>
      </c>
      <c r="E130" s="67" t="s">
        <v>72</v>
      </c>
      <c r="F130" s="67" t="s">
        <v>145</v>
      </c>
      <c r="G130" s="67" t="s">
        <v>44</v>
      </c>
      <c r="H130" s="67" t="s">
        <v>549</v>
      </c>
      <c r="I130" s="67" t="s">
        <v>550</v>
      </c>
      <c r="J130" s="67" t="s">
        <v>141</v>
      </c>
      <c r="K130" s="67" t="s">
        <v>184</v>
      </c>
      <c r="L130" s="67" t="s">
        <v>184</v>
      </c>
      <c r="M130" s="67" t="s">
        <v>184</v>
      </c>
      <c r="N130" s="67" t="s">
        <v>551</v>
      </c>
      <c r="O130" s="67" t="s">
        <v>184</v>
      </c>
      <c r="P130" s="67" t="s">
        <v>49</v>
      </c>
      <c r="Q130" s="67" t="s">
        <v>50</v>
      </c>
      <c r="R130" s="67" t="s">
        <v>552</v>
      </c>
      <c r="U130" t="s">
        <v>51</v>
      </c>
    </row>
    <row r="131" spans="1:21" ht="49.5" customHeight="1" x14ac:dyDescent="0.35">
      <c r="A131" s="67">
        <v>150</v>
      </c>
      <c r="B131" s="67">
        <v>26</v>
      </c>
      <c r="C131" s="67" t="s">
        <v>544</v>
      </c>
      <c r="D131" s="67">
        <v>2024</v>
      </c>
      <c r="E131" s="67" t="s">
        <v>72</v>
      </c>
      <c r="F131" s="67" t="s">
        <v>145</v>
      </c>
      <c r="G131" s="67" t="s">
        <v>44</v>
      </c>
      <c r="H131" s="67" t="s">
        <v>553</v>
      </c>
      <c r="I131" s="67" t="s">
        <v>554</v>
      </c>
      <c r="J131" s="67" t="s">
        <v>63</v>
      </c>
      <c r="K131" s="67" t="s">
        <v>113</v>
      </c>
      <c r="L131" s="67" t="s">
        <v>184</v>
      </c>
      <c r="M131" s="67" t="s">
        <v>184</v>
      </c>
      <c r="N131" s="67" t="s">
        <v>555</v>
      </c>
      <c r="O131" s="67" t="s">
        <v>556</v>
      </c>
      <c r="P131" s="67" t="s">
        <v>49</v>
      </c>
      <c r="Q131" s="67" t="s">
        <v>50</v>
      </c>
      <c r="R131" s="68" t="s">
        <v>557</v>
      </c>
      <c r="U131" t="s">
        <v>51</v>
      </c>
    </row>
    <row r="132" spans="1:21" ht="49.5" customHeight="1" x14ac:dyDescent="0.35">
      <c r="A132" s="67">
        <v>151</v>
      </c>
      <c r="B132" s="67">
        <v>26</v>
      </c>
      <c r="C132" s="67" t="s">
        <v>544</v>
      </c>
      <c r="D132" s="67">
        <v>2024</v>
      </c>
      <c r="E132" s="67" t="s">
        <v>72</v>
      </c>
      <c r="F132" s="67" t="s">
        <v>145</v>
      </c>
      <c r="G132" s="67" t="s">
        <v>44</v>
      </c>
      <c r="H132" s="67" t="s">
        <v>558</v>
      </c>
      <c r="I132" s="67" t="s">
        <v>559</v>
      </c>
      <c r="J132" s="67" t="s">
        <v>133</v>
      </c>
      <c r="K132" s="67" t="s">
        <v>184</v>
      </c>
      <c r="L132" s="67" t="s">
        <v>184</v>
      </c>
      <c r="M132" s="67" t="s">
        <v>48</v>
      </c>
      <c r="N132" s="67" t="s">
        <v>560</v>
      </c>
      <c r="O132" s="67" t="s">
        <v>184</v>
      </c>
      <c r="P132" s="67" t="s">
        <v>49</v>
      </c>
      <c r="Q132" s="67" t="s">
        <v>50</v>
      </c>
      <c r="R132" s="67" t="s">
        <v>561</v>
      </c>
      <c r="U132" t="s">
        <v>51</v>
      </c>
    </row>
    <row r="133" spans="1:21" ht="49.5" customHeight="1" x14ac:dyDescent="0.35">
      <c r="A133" s="67">
        <v>152</v>
      </c>
      <c r="B133" s="67">
        <v>26</v>
      </c>
      <c r="C133" s="67" t="s">
        <v>544</v>
      </c>
      <c r="D133" s="67">
        <v>2024</v>
      </c>
      <c r="E133" s="67" t="s">
        <v>72</v>
      </c>
      <c r="F133" s="67" t="s">
        <v>145</v>
      </c>
      <c r="G133" s="67" t="s">
        <v>44</v>
      </c>
      <c r="H133" s="67" t="s">
        <v>562</v>
      </c>
      <c r="I133" s="67" t="s">
        <v>563</v>
      </c>
      <c r="J133" s="67" t="s">
        <v>133</v>
      </c>
      <c r="K133" s="67" t="s">
        <v>184</v>
      </c>
      <c r="L133" s="67" t="s">
        <v>184</v>
      </c>
      <c r="M133" s="67" t="s">
        <v>184</v>
      </c>
      <c r="N133" s="67" t="s">
        <v>564</v>
      </c>
      <c r="O133" s="67" t="s">
        <v>184</v>
      </c>
      <c r="P133" s="67" t="s">
        <v>49</v>
      </c>
      <c r="Q133" s="67" t="s">
        <v>50</v>
      </c>
      <c r="R133" s="67" t="s">
        <v>565</v>
      </c>
      <c r="U133" t="s">
        <v>51</v>
      </c>
    </row>
    <row r="134" spans="1:21" ht="49.5" customHeight="1" x14ac:dyDescent="0.35">
      <c r="A134" s="67">
        <v>153</v>
      </c>
      <c r="B134" s="67">
        <v>26</v>
      </c>
      <c r="C134" s="67" t="s">
        <v>544</v>
      </c>
      <c r="D134" s="67">
        <v>2024</v>
      </c>
      <c r="E134" s="67" t="s">
        <v>72</v>
      </c>
      <c r="F134" s="67" t="s">
        <v>145</v>
      </c>
      <c r="G134" s="67" t="s">
        <v>44</v>
      </c>
      <c r="H134" s="67" t="s">
        <v>566</v>
      </c>
      <c r="I134" s="67" t="s">
        <v>567</v>
      </c>
      <c r="J134" s="67" t="s">
        <v>113</v>
      </c>
      <c r="K134" s="67" t="s">
        <v>56</v>
      </c>
      <c r="L134" s="67" t="s">
        <v>184</v>
      </c>
      <c r="M134" s="67" t="s">
        <v>184</v>
      </c>
      <c r="N134" s="67" t="s">
        <v>568</v>
      </c>
      <c r="O134" s="67" t="s">
        <v>569</v>
      </c>
      <c r="P134" s="67" t="s">
        <v>49</v>
      </c>
      <c r="Q134" s="67" t="s">
        <v>50</v>
      </c>
      <c r="R134" s="67" t="s">
        <v>570</v>
      </c>
      <c r="U134" t="s">
        <v>51</v>
      </c>
    </row>
    <row r="135" spans="1:21" ht="49.5" customHeight="1" x14ac:dyDescent="0.35">
      <c r="A135" s="67">
        <v>154</v>
      </c>
      <c r="B135" s="67">
        <v>26</v>
      </c>
      <c r="C135" s="67" t="s">
        <v>544</v>
      </c>
      <c r="D135" s="67">
        <v>2024</v>
      </c>
      <c r="E135" s="67" t="s">
        <v>72</v>
      </c>
      <c r="F135" s="67" t="s">
        <v>145</v>
      </c>
      <c r="G135" s="67" t="s">
        <v>44</v>
      </c>
      <c r="H135" s="67" t="s">
        <v>571</v>
      </c>
      <c r="I135" s="67" t="s">
        <v>572</v>
      </c>
      <c r="J135" s="67" t="s">
        <v>56</v>
      </c>
      <c r="K135" s="67" t="s">
        <v>133</v>
      </c>
      <c r="L135" s="67" t="s">
        <v>184</v>
      </c>
      <c r="M135" s="67" t="s">
        <v>48</v>
      </c>
      <c r="N135" s="67" t="s">
        <v>573</v>
      </c>
      <c r="O135" s="67" t="s">
        <v>574</v>
      </c>
      <c r="P135" s="67" t="s">
        <v>49</v>
      </c>
      <c r="Q135" s="67" t="s">
        <v>50</v>
      </c>
      <c r="R135" s="68" t="s">
        <v>575</v>
      </c>
      <c r="U135" t="s">
        <v>51</v>
      </c>
    </row>
    <row r="136" spans="1:21" ht="49.5" customHeight="1" x14ac:dyDescent="0.35">
      <c r="A136" s="67">
        <v>155</v>
      </c>
      <c r="B136" s="67">
        <v>26</v>
      </c>
      <c r="C136" s="67" t="s">
        <v>544</v>
      </c>
      <c r="D136" s="67">
        <v>2024</v>
      </c>
      <c r="E136" s="67" t="s">
        <v>72</v>
      </c>
      <c r="F136" s="67" t="s">
        <v>145</v>
      </c>
      <c r="G136" s="67" t="s">
        <v>44</v>
      </c>
      <c r="H136" s="67" t="s">
        <v>576</v>
      </c>
      <c r="I136" s="67" t="s">
        <v>577</v>
      </c>
      <c r="J136" s="67" t="s">
        <v>133</v>
      </c>
      <c r="K136" s="67" t="s">
        <v>184</v>
      </c>
      <c r="L136" s="67" t="s">
        <v>184</v>
      </c>
      <c r="M136" s="67" t="s">
        <v>184</v>
      </c>
      <c r="N136" s="67" t="s">
        <v>578</v>
      </c>
      <c r="O136" s="67" t="s">
        <v>184</v>
      </c>
      <c r="P136" s="67" t="s">
        <v>49</v>
      </c>
      <c r="Q136" s="67" t="s">
        <v>50</v>
      </c>
      <c r="R136" s="67" t="s">
        <v>579</v>
      </c>
      <c r="U136" t="s">
        <v>51</v>
      </c>
    </row>
    <row r="137" spans="1:21" ht="49.5" customHeight="1" x14ac:dyDescent="0.35">
      <c r="A137" s="67">
        <v>156</v>
      </c>
      <c r="B137" s="67">
        <v>26</v>
      </c>
      <c r="C137" s="67" t="s">
        <v>544</v>
      </c>
      <c r="D137" s="67">
        <v>2024</v>
      </c>
      <c r="E137" s="67" t="s">
        <v>72</v>
      </c>
      <c r="F137" s="67" t="s">
        <v>145</v>
      </c>
      <c r="G137" s="67" t="s">
        <v>44</v>
      </c>
      <c r="H137" s="67" t="s">
        <v>580</v>
      </c>
      <c r="I137" s="67" t="s">
        <v>581</v>
      </c>
      <c r="J137" s="67" t="s">
        <v>113</v>
      </c>
      <c r="K137" s="67" t="s">
        <v>184</v>
      </c>
      <c r="L137" s="67" t="s">
        <v>184</v>
      </c>
      <c r="M137" s="67" t="s">
        <v>184</v>
      </c>
      <c r="N137" s="67" t="s">
        <v>582</v>
      </c>
      <c r="O137" s="67" t="s">
        <v>184</v>
      </c>
      <c r="P137" s="67" t="s">
        <v>49</v>
      </c>
      <c r="Q137" s="67" t="s">
        <v>50</v>
      </c>
      <c r="R137" s="67" t="s">
        <v>583</v>
      </c>
      <c r="U137" t="s">
        <v>51</v>
      </c>
    </row>
    <row r="138" spans="1:21" ht="49.5" customHeight="1" x14ac:dyDescent="0.35">
      <c r="A138" s="67">
        <v>157</v>
      </c>
      <c r="B138" s="67">
        <v>26</v>
      </c>
      <c r="C138" s="67" t="s">
        <v>544</v>
      </c>
      <c r="D138" s="67">
        <v>2024</v>
      </c>
      <c r="E138" s="67" t="s">
        <v>72</v>
      </c>
      <c r="F138" s="67" t="s">
        <v>145</v>
      </c>
      <c r="G138" s="67" t="s">
        <v>44</v>
      </c>
      <c r="H138" s="67" t="s">
        <v>65</v>
      </c>
      <c r="I138" s="67" t="s">
        <v>584</v>
      </c>
      <c r="J138" s="67" t="s">
        <v>141</v>
      </c>
      <c r="K138" s="67" t="s">
        <v>113</v>
      </c>
      <c r="L138" s="67" t="s">
        <v>184</v>
      </c>
      <c r="M138" s="67" t="s">
        <v>184</v>
      </c>
      <c r="N138" s="67" t="s">
        <v>585</v>
      </c>
      <c r="O138" s="67" t="s">
        <v>586</v>
      </c>
      <c r="P138" s="67" t="s">
        <v>49</v>
      </c>
      <c r="Q138" s="67" t="s">
        <v>50</v>
      </c>
      <c r="R138" s="68" t="s">
        <v>587</v>
      </c>
      <c r="U138" t="s">
        <v>51</v>
      </c>
    </row>
    <row r="139" spans="1:21" ht="49.5" customHeight="1" x14ac:dyDescent="0.35">
      <c r="A139" s="20">
        <v>158</v>
      </c>
      <c r="B139" s="67">
        <v>4</v>
      </c>
      <c r="C139" s="67" t="s">
        <v>588</v>
      </c>
      <c r="D139" s="67">
        <v>2024</v>
      </c>
      <c r="E139" s="67" t="s">
        <v>279</v>
      </c>
      <c r="F139" s="67" t="s">
        <v>589</v>
      </c>
      <c r="G139" s="67" t="s">
        <v>44</v>
      </c>
      <c r="H139" s="67" t="s">
        <v>590</v>
      </c>
      <c r="I139" s="67" t="s">
        <v>591</v>
      </c>
      <c r="J139" s="67" t="s">
        <v>113</v>
      </c>
      <c r="K139" s="67" t="s">
        <v>141</v>
      </c>
      <c r="L139" s="67" t="s">
        <v>184</v>
      </c>
      <c r="M139" s="67" t="s">
        <v>184</v>
      </c>
      <c r="N139" s="67" t="s">
        <v>592</v>
      </c>
      <c r="O139" s="67" t="s">
        <v>593</v>
      </c>
      <c r="P139" s="67" t="s">
        <v>49</v>
      </c>
      <c r="Q139" s="67" t="s">
        <v>50</v>
      </c>
      <c r="R139" s="68" t="s">
        <v>594</v>
      </c>
      <c r="U139" t="s">
        <v>51</v>
      </c>
    </row>
    <row r="140" spans="1:21" ht="49.5" customHeight="1" x14ac:dyDescent="0.35">
      <c r="A140" s="21">
        <v>159</v>
      </c>
      <c r="B140" s="67">
        <v>4</v>
      </c>
      <c r="C140" s="67" t="s">
        <v>588</v>
      </c>
      <c r="D140" s="67">
        <v>2024</v>
      </c>
      <c r="E140" s="67" t="s">
        <v>279</v>
      </c>
      <c r="F140" s="67" t="s">
        <v>589</v>
      </c>
      <c r="G140" s="67" t="s">
        <v>44</v>
      </c>
      <c r="H140" s="67" t="s">
        <v>595</v>
      </c>
      <c r="I140" s="67" t="s">
        <v>596</v>
      </c>
      <c r="J140" s="67" t="s">
        <v>47</v>
      </c>
      <c r="K140" s="67" t="s">
        <v>59</v>
      </c>
      <c r="L140" s="67" t="s">
        <v>81</v>
      </c>
      <c r="M140" s="67" t="s">
        <v>184</v>
      </c>
      <c r="N140" s="67" t="s">
        <v>597</v>
      </c>
      <c r="O140" s="67" t="s">
        <v>598</v>
      </c>
      <c r="P140" s="67" t="s">
        <v>49</v>
      </c>
      <c r="Q140" s="67" t="s">
        <v>50</v>
      </c>
      <c r="R140" s="67" t="s">
        <v>599</v>
      </c>
      <c r="U140" t="s">
        <v>51</v>
      </c>
    </row>
    <row r="141" spans="1:21" ht="49.5" customHeight="1" x14ac:dyDescent="0.35">
      <c r="A141" s="20">
        <v>160</v>
      </c>
      <c r="B141" s="67">
        <v>4</v>
      </c>
      <c r="C141" s="67" t="s">
        <v>588</v>
      </c>
      <c r="D141" s="67">
        <v>2024</v>
      </c>
      <c r="E141" s="67" t="s">
        <v>279</v>
      </c>
      <c r="F141" s="67" t="s">
        <v>589</v>
      </c>
      <c r="G141" s="67" t="s">
        <v>44</v>
      </c>
      <c r="H141" s="67" t="s">
        <v>600</v>
      </c>
      <c r="I141" s="67" t="s">
        <v>601</v>
      </c>
      <c r="J141" s="67" t="s">
        <v>47</v>
      </c>
      <c r="K141" s="67" t="s">
        <v>91</v>
      </c>
      <c r="L141" s="67" t="s">
        <v>184</v>
      </c>
      <c r="M141" s="67" t="s">
        <v>184</v>
      </c>
      <c r="N141" s="67" t="s">
        <v>602</v>
      </c>
      <c r="O141" s="67" t="s">
        <v>603</v>
      </c>
      <c r="P141" s="67" t="s">
        <v>49</v>
      </c>
      <c r="Q141" s="67" t="s">
        <v>50</v>
      </c>
      <c r="R141" s="67" t="s">
        <v>604</v>
      </c>
      <c r="U141" t="s">
        <v>51</v>
      </c>
    </row>
    <row r="142" spans="1:21" ht="49.5" customHeight="1" x14ac:dyDescent="0.35">
      <c r="A142" s="21">
        <v>161</v>
      </c>
      <c r="B142" s="67">
        <v>4</v>
      </c>
      <c r="C142" s="67" t="s">
        <v>588</v>
      </c>
      <c r="D142" s="67">
        <v>2024</v>
      </c>
      <c r="E142" s="67" t="s">
        <v>279</v>
      </c>
      <c r="F142" s="67" t="s">
        <v>589</v>
      </c>
      <c r="G142" s="67" t="s">
        <v>44</v>
      </c>
      <c r="H142" s="67" t="s">
        <v>605</v>
      </c>
      <c r="I142" s="67" t="s">
        <v>606</v>
      </c>
      <c r="J142" s="67" t="s">
        <v>141</v>
      </c>
      <c r="K142" s="67" t="s">
        <v>113</v>
      </c>
      <c r="L142" s="67" t="s">
        <v>184</v>
      </c>
      <c r="M142" s="67" t="s">
        <v>184</v>
      </c>
      <c r="N142" s="67" t="s">
        <v>607</v>
      </c>
      <c r="O142" s="67" t="s">
        <v>608</v>
      </c>
      <c r="P142" s="67" t="s">
        <v>49</v>
      </c>
      <c r="Q142" s="67" t="s">
        <v>50</v>
      </c>
      <c r="R142" s="67" t="s">
        <v>609</v>
      </c>
      <c r="U142" t="s">
        <v>51</v>
      </c>
    </row>
    <row r="143" spans="1:21" ht="49.5" customHeight="1" x14ac:dyDescent="0.35">
      <c r="A143" s="20">
        <v>162</v>
      </c>
      <c r="B143" s="67">
        <v>4</v>
      </c>
      <c r="C143" s="67" t="s">
        <v>588</v>
      </c>
      <c r="D143" s="67">
        <v>2024</v>
      </c>
      <c r="E143" s="67" t="s">
        <v>279</v>
      </c>
      <c r="F143" s="67" t="s">
        <v>589</v>
      </c>
      <c r="G143" s="67" t="s">
        <v>44</v>
      </c>
      <c r="H143" s="67" t="s">
        <v>610</v>
      </c>
      <c r="I143" s="67" t="s">
        <v>611</v>
      </c>
      <c r="J143" s="67" t="s">
        <v>48</v>
      </c>
      <c r="K143" s="67" t="s">
        <v>47</v>
      </c>
      <c r="L143" s="67" t="s">
        <v>59</v>
      </c>
      <c r="M143" s="67" t="s">
        <v>184</v>
      </c>
      <c r="N143" s="67" t="s">
        <v>612</v>
      </c>
      <c r="O143" s="67" t="s">
        <v>613</v>
      </c>
      <c r="P143" s="67" t="s">
        <v>49</v>
      </c>
      <c r="Q143" s="67" t="s">
        <v>50</v>
      </c>
      <c r="R143" s="67" t="s">
        <v>614</v>
      </c>
      <c r="U143" t="s">
        <v>51</v>
      </c>
    </row>
    <row r="144" spans="1:21" ht="49.5" customHeight="1" x14ac:dyDescent="0.35">
      <c r="A144" s="21">
        <v>163</v>
      </c>
      <c r="B144" s="67">
        <v>4</v>
      </c>
      <c r="C144" s="67" t="s">
        <v>588</v>
      </c>
      <c r="D144" s="67">
        <v>2024</v>
      </c>
      <c r="E144" s="67" t="s">
        <v>279</v>
      </c>
      <c r="F144" s="67" t="s">
        <v>589</v>
      </c>
      <c r="G144" s="67" t="s">
        <v>44</v>
      </c>
      <c r="H144" s="67" t="s">
        <v>615</v>
      </c>
      <c r="I144" s="67" t="s">
        <v>616</v>
      </c>
      <c r="J144" s="67" t="s">
        <v>81</v>
      </c>
      <c r="K144" s="67" t="s">
        <v>48</v>
      </c>
      <c r="L144" s="67" t="s">
        <v>67</v>
      </c>
      <c r="M144" s="67" t="s">
        <v>184</v>
      </c>
      <c r="N144" s="67" t="s">
        <v>617</v>
      </c>
      <c r="O144" s="67" t="s">
        <v>618</v>
      </c>
      <c r="P144" s="67" t="s">
        <v>49</v>
      </c>
      <c r="Q144" s="67" t="s">
        <v>50</v>
      </c>
      <c r="R144" s="68" t="s">
        <v>619</v>
      </c>
      <c r="U144" t="s">
        <v>51</v>
      </c>
    </row>
    <row r="145" spans="1:21" ht="49.5" customHeight="1" x14ac:dyDescent="0.35">
      <c r="A145" s="20">
        <v>164</v>
      </c>
      <c r="B145" s="67">
        <v>4</v>
      </c>
      <c r="C145" s="67" t="s">
        <v>588</v>
      </c>
      <c r="D145" s="67">
        <v>2024</v>
      </c>
      <c r="E145" s="67" t="s">
        <v>279</v>
      </c>
      <c r="F145" s="67" t="s">
        <v>589</v>
      </c>
      <c r="G145" s="67" t="s">
        <v>44</v>
      </c>
      <c r="H145" s="67" t="s">
        <v>620</v>
      </c>
      <c r="I145" s="67" t="s">
        <v>621</v>
      </c>
      <c r="J145" s="67" t="s">
        <v>59</v>
      </c>
      <c r="K145" s="67" t="s">
        <v>48</v>
      </c>
      <c r="L145" s="67" t="s">
        <v>184</v>
      </c>
      <c r="M145" s="67" t="s">
        <v>184</v>
      </c>
      <c r="N145" s="67" t="s">
        <v>622</v>
      </c>
      <c r="O145" s="67" t="s">
        <v>623</v>
      </c>
      <c r="P145" s="67" t="s">
        <v>49</v>
      </c>
      <c r="Q145" s="67" t="s">
        <v>50</v>
      </c>
      <c r="R145" s="67" t="s">
        <v>624</v>
      </c>
      <c r="U145" t="s">
        <v>51</v>
      </c>
    </row>
    <row r="146" spans="1:21" ht="49.5" customHeight="1" x14ac:dyDescent="0.35">
      <c r="A146" s="67">
        <f t="shared" ref="A146:A174" si="0">A145+1</f>
        <v>165</v>
      </c>
      <c r="B146" s="67">
        <v>21</v>
      </c>
      <c r="C146" s="67" t="s">
        <v>625</v>
      </c>
      <c r="D146" s="67">
        <v>2025</v>
      </c>
      <c r="E146" s="67" t="s">
        <v>42</v>
      </c>
      <c r="F146" s="67" t="s">
        <v>489</v>
      </c>
      <c r="G146" s="67" t="s">
        <v>44</v>
      </c>
      <c r="H146" s="67" t="s">
        <v>246</v>
      </c>
      <c r="I146" s="67" t="s">
        <v>626</v>
      </c>
      <c r="J146" s="67" t="s">
        <v>47</v>
      </c>
      <c r="K146" s="67" t="s">
        <v>263</v>
      </c>
      <c r="L146" s="67" t="s">
        <v>81</v>
      </c>
      <c r="M146" s="67" t="s">
        <v>184</v>
      </c>
      <c r="N146" s="67" t="s">
        <v>627</v>
      </c>
      <c r="O146" s="67" t="s">
        <v>628</v>
      </c>
      <c r="P146" s="67" t="s">
        <v>49</v>
      </c>
      <c r="Q146" s="67" t="s">
        <v>50</v>
      </c>
      <c r="R146" s="67" t="s">
        <v>629</v>
      </c>
      <c r="U146" t="s">
        <v>51</v>
      </c>
    </row>
    <row r="147" spans="1:21" ht="49.5" customHeight="1" x14ac:dyDescent="0.35">
      <c r="A147" s="67">
        <f t="shared" si="0"/>
        <v>166</v>
      </c>
      <c r="B147" s="67">
        <v>21</v>
      </c>
      <c r="C147" s="67" t="s">
        <v>625</v>
      </c>
      <c r="D147" s="67">
        <v>2025</v>
      </c>
      <c r="E147" s="67" t="s">
        <v>42</v>
      </c>
      <c r="F147" s="67" t="s">
        <v>489</v>
      </c>
      <c r="G147" s="67" t="s">
        <v>44</v>
      </c>
      <c r="H147" s="67" t="s">
        <v>414</v>
      </c>
      <c r="I147" s="67" t="s">
        <v>630</v>
      </c>
      <c r="J147" s="67" t="s">
        <v>263</v>
      </c>
      <c r="K147" s="67" t="s">
        <v>48</v>
      </c>
      <c r="L147" s="67" t="s">
        <v>184</v>
      </c>
      <c r="M147" s="67" t="s">
        <v>184</v>
      </c>
      <c r="N147" s="67" t="s">
        <v>631</v>
      </c>
      <c r="O147" s="67" t="s">
        <v>632</v>
      </c>
      <c r="P147" s="67" t="s">
        <v>49</v>
      </c>
      <c r="Q147" s="67" t="s">
        <v>50</v>
      </c>
      <c r="R147" s="67" t="s">
        <v>633</v>
      </c>
      <c r="U147" t="s">
        <v>51</v>
      </c>
    </row>
    <row r="148" spans="1:21" ht="49.5" customHeight="1" x14ac:dyDescent="0.35">
      <c r="A148" s="67">
        <f t="shared" si="0"/>
        <v>167</v>
      </c>
      <c r="B148" s="67">
        <v>21</v>
      </c>
      <c r="C148" s="67" t="s">
        <v>625</v>
      </c>
      <c r="D148" s="67">
        <v>2025</v>
      </c>
      <c r="E148" s="67" t="s">
        <v>42</v>
      </c>
      <c r="F148" s="67" t="s">
        <v>489</v>
      </c>
      <c r="G148" s="67" t="s">
        <v>44</v>
      </c>
      <c r="H148" s="67" t="s">
        <v>634</v>
      </c>
      <c r="I148" s="67" t="s">
        <v>635</v>
      </c>
      <c r="J148" s="67" t="s">
        <v>56</v>
      </c>
      <c r="K148" s="67" t="s">
        <v>91</v>
      </c>
      <c r="L148" s="67" t="s">
        <v>184</v>
      </c>
      <c r="M148" s="67" t="s">
        <v>184</v>
      </c>
      <c r="N148" s="67" t="s">
        <v>636</v>
      </c>
      <c r="O148" s="67" t="s">
        <v>637</v>
      </c>
      <c r="P148" s="67" t="s">
        <v>49</v>
      </c>
      <c r="Q148" s="67" t="s">
        <v>50</v>
      </c>
      <c r="R148" s="67" t="s">
        <v>638</v>
      </c>
      <c r="U148" t="s">
        <v>51</v>
      </c>
    </row>
    <row r="149" spans="1:21" ht="49.5" customHeight="1" x14ac:dyDescent="0.35">
      <c r="A149" s="67">
        <f t="shared" si="0"/>
        <v>168</v>
      </c>
      <c r="B149" s="67">
        <v>21</v>
      </c>
      <c r="C149" s="67" t="s">
        <v>625</v>
      </c>
      <c r="D149" s="67">
        <v>2025</v>
      </c>
      <c r="E149" s="67" t="s">
        <v>42</v>
      </c>
      <c r="F149" s="67" t="s">
        <v>489</v>
      </c>
      <c r="G149" s="67" t="s">
        <v>44</v>
      </c>
      <c r="H149" s="67" t="s">
        <v>639</v>
      </c>
      <c r="I149" s="67" t="s">
        <v>429</v>
      </c>
      <c r="J149" s="67" t="s">
        <v>56</v>
      </c>
      <c r="K149" s="67" t="s">
        <v>91</v>
      </c>
      <c r="L149" s="67" t="s">
        <v>67</v>
      </c>
      <c r="M149" s="67" t="s">
        <v>184</v>
      </c>
      <c r="N149" s="67" t="s">
        <v>640</v>
      </c>
      <c r="O149" s="67" t="s">
        <v>641</v>
      </c>
      <c r="P149" s="67" t="s">
        <v>49</v>
      </c>
      <c r="Q149" s="67" t="s">
        <v>50</v>
      </c>
      <c r="R149" s="68" t="s">
        <v>642</v>
      </c>
      <c r="U149" t="s">
        <v>51</v>
      </c>
    </row>
    <row r="150" spans="1:21" ht="49.5" customHeight="1" x14ac:dyDescent="0.35">
      <c r="A150" s="67">
        <f t="shared" si="0"/>
        <v>169</v>
      </c>
      <c r="B150" s="67">
        <v>21</v>
      </c>
      <c r="C150" s="67" t="s">
        <v>625</v>
      </c>
      <c r="D150" s="67">
        <v>2025</v>
      </c>
      <c r="E150" s="67" t="s">
        <v>42</v>
      </c>
      <c r="F150" s="67" t="s">
        <v>489</v>
      </c>
      <c r="G150" s="67" t="s">
        <v>44</v>
      </c>
      <c r="H150" s="67" t="s">
        <v>643</v>
      </c>
      <c r="I150" s="67" t="s">
        <v>433</v>
      </c>
      <c r="J150" s="67" t="s">
        <v>56</v>
      </c>
      <c r="K150" s="67" t="s">
        <v>91</v>
      </c>
      <c r="L150" s="67" t="s">
        <v>184</v>
      </c>
      <c r="M150" s="67" t="s">
        <v>184</v>
      </c>
      <c r="N150" s="67" t="s">
        <v>644</v>
      </c>
      <c r="O150" s="67" t="s">
        <v>645</v>
      </c>
      <c r="P150" s="67" t="s">
        <v>49</v>
      </c>
      <c r="Q150" s="67" t="s">
        <v>50</v>
      </c>
      <c r="R150" s="68" t="s">
        <v>646</v>
      </c>
      <c r="U150" t="s">
        <v>51</v>
      </c>
    </row>
    <row r="151" spans="1:21" ht="49.5" customHeight="1" x14ac:dyDescent="0.35">
      <c r="A151" s="67">
        <f t="shared" si="0"/>
        <v>170</v>
      </c>
      <c r="B151" s="67">
        <v>21</v>
      </c>
      <c r="C151" s="67" t="s">
        <v>625</v>
      </c>
      <c r="D151" s="67">
        <v>2025</v>
      </c>
      <c r="E151" s="67" t="s">
        <v>42</v>
      </c>
      <c r="F151" s="67" t="s">
        <v>489</v>
      </c>
      <c r="G151" s="67" t="s">
        <v>44</v>
      </c>
      <c r="H151" s="67" t="s">
        <v>647</v>
      </c>
      <c r="I151" s="67" t="s">
        <v>648</v>
      </c>
      <c r="J151" s="67" t="s">
        <v>59</v>
      </c>
      <c r="K151" s="67" t="s">
        <v>184</v>
      </c>
      <c r="L151" s="67" t="s">
        <v>184</v>
      </c>
      <c r="M151" s="67" t="s">
        <v>184</v>
      </c>
      <c r="N151" s="67" t="s">
        <v>649</v>
      </c>
      <c r="O151" s="67" t="s">
        <v>184</v>
      </c>
      <c r="P151" s="67" t="s">
        <v>49</v>
      </c>
      <c r="Q151" s="67" t="s">
        <v>50</v>
      </c>
      <c r="R151" s="68" t="s">
        <v>650</v>
      </c>
      <c r="U151" t="s">
        <v>51</v>
      </c>
    </row>
    <row r="152" spans="1:21" ht="49.5" customHeight="1" x14ac:dyDescent="0.35">
      <c r="A152" s="67">
        <f t="shared" si="0"/>
        <v>171</v>
      </c>
      <c r="B152" s="67">
        <v>21</v>
      </c>
      <c r="C152" s="67" t="s">
        <v>625</v>
      </c>
      <c r="D152" s="67">
        <v>2025</v>
      </c>
      <c r="E152" s="67" t="s">
        <v>42</v>
      </c>
      <c r="F152" s="67" t="s">
        <v>489</v>
      </c>
      <c r="G152" s="67" t="s">
        <v>44</v>
      </c>
      <c r="H152" s="67" t="s">
        <v>651</v>
      </c>
      <c r="I152" s="67" t="s">
        <v>652</v>
      </c>
      <c r="J152" s="67" t="s">
        <v>263</v>
      </c>
      <c r="K152" s="67" t="s">
        <v>48</v>
      </c>
      <c r="L152" s="67" t="s">
        <v>184</v>
      </c>
      <c r="M152" s="67" t="s">
        <v>184</v>
      </c>
      <c r="N152" s="67" t="s">
        <v>653</v>
      </c>
      <c r="O152" s="67" t="s">
        <v>654</v>
      </c>
      <c r="P152" s="67" t="s">
        <v>49</v>
      </c>
      <c r="Q152" s="67" t="s">
        <v>50</v>
      </c>
      <c r="R152" s="67" t="s">
        <v>655</v>
      </c>
      <c r="U152" t="s">
        <v>51</v>
      </c>
    </row>
    <row r="153" spans="1:21" ht="49.5" customHeight="1" x14ac:dyDescent="0.35">
      <c r="A153" s="67">
        <f t="shared" si="0"/>
        <v>172</v>
      </c>
      <c r="B153" s="67">
        <v>21</v>
      </c>
      <c r="C153" s="67" t="s">
        <v>625</v>
      </c>
      <c r="D153" s="67">
        <v>2025</v>
      </c>
      <c r="E153" s="67" t="s">
        <v>42</v>
      </c>
      <c r="F153" s="67" t="s">
        <v>489</v>
      </c>
      <c r="G153" s="67" t="s">
        <v>44</v>
      </c>
      <c r="H153" s="67" t="s">
        <v>436</v>
      </c>
      <c r="I153" s="67" t="s">
        <v>656</v>
      </c>
      <c r="J153" s="67" t="s">
        <v>81</v>
      </c>
      <c r="K153" s="67" t="s">
        <v>91</v>
      </c>
      <c r="L153" s="67" t="s">
        <v>184</v>
      </c>
      <c r="M153" s="67" t="s">
        <v>184</v>
      </c>
      <c r="N153" s="67" t="s">
        <v>657</v>
      </c>
      <c r="O153" s="67" t="s">
        <v>658</v>
      </c>
      <c r="P153" s="67" t="s">
        <v>49</v>
      </c>
      <c r="Q153" s="67" t="s">
        <v>50</v>
      </c>
      <c r="R153" s="68" t="s">
        <v>659</v>
      </c>
      <c r="U153" t="s">
        <v>51</v>
      </c>
    </row>
    <row r="154" spans="1:21" ht="49.5" customHeight="1" x14ac:dyDescent="0.35">
      <c r="A154" s="67">
        <f t="shared" si="0"/>
        <v>173</v>
      </c>
      <c r="B154" s="67">
        <v>21</v>
      </c>
      <c r="C154" s="67" t="s">
        <v>625</v>
      </c>
      <c r="D154" s="67">
        <v>2025</v>
      </c>
      <c r="E154" s="67" t="s">
        <v>42</v>
      </c>
      <c r="F154" s="67" t="s">
        <v>489</v>
      </c>
      <c r="G154" s="67" t="s">
        <v>44</v>
      </c>
      <c r="H154" s="67" t="s">
        <v>443</v>
      </c>
      <c r="I154" s="67" t="s">
        <v>660</v>
      </c>
      <c r="J154" s="67" t="s">
        <v>263</v>
      </c>
      <c r="K154" s="67" t="s">
        <v>56</v>
      </c>
      <c r="L154" s="67" t="s">
        <v>48</v>
      </c>
      <c r="M154" s="67" t="s">
        <v>184</v>
      </c>
      <c r="N154" s="67" t="s">
        <v>661</v>
      </c>
      <c r="O154" s="67" t="s">
        <v>662</v>
      </c>
      <c r="P154" s="67" t="s">
        <v>49</v>
      </c>
      <c r="Q154" s="67" t="s">
        <v>50</v>
      </c>
      <c r="R154" s="68" t="s">
        <v>663</v>
      </c>
      <c r="U154" t="s">
        <v>51</v>
      </c>
    </row>
    <row r="155" spans="1:21" ht="49.5" customHeight="1" x14ac:dyDescent="0.35">
      <c r="A155" s="67">
        <f t="shared" si="0"/>
        <v>174</v>
      </c>
      <c r="B155" s="67">
        <v>21</v>
      </c>
      <c r="C155" s="67" t="s">
        <v>625</v>
      </c>
      <c r="D155" s="67">
        <v>2025</v>
      </c>
      <c r="E155" s="67" t="s">
        <v>42</v>
      </c>
      <c r="F155" s="67" t="s">
        <v>489</v>
      </c>
      <c r="G155" s="67" t="s">
        <v>44</v>
      </c>
      <c r="H155" s="67" t="s">
        <v>664</v>
      </c>
      <c r="I155" s="67" t="s">
        <v>665</v>
      </c>
      <c r="J155" s="67" t="s">
        <v>47</v>
      </c>
      <c r="K155" s="67" t="s">
        <v>67</v>
      </c>
      <c r="L155" s="67" t="s">
        <v>184</v>
      </c>
      <c r="M155" s="67" t="s">
        <v>184</v>
      </c>
      <c r="N155" s="67" t="s">
        <v>666</v>
      </c>
      <c r="O155" s="67" t="s">
        <v>667</v>
      </c>
      <c r="P155" s="67" t="s">
        <v>49</v>
      </c>
      <c r="Q155" s="67" t="s">
        <v>50</v>
      </c>
      <c r="R155" s="68" t="s">
        <v>668</v>
      </c>
      <c r="U155" t="s">
        <v>51</v>
      </c>
    </row>
    <row r="156" spans="1:21" ht="49.5" customHeight="1" x14ac:dyDescent="0.35">
      <c r="A156" s="67">
        <f t="shared" si="0"/>
        <v>175</v>
      </c>
      <c r="B156" s="67">
        <v>21</v>
      </c>
      <c r="C156" s="67" t="s">
        <v>625</v>
      </c>
      <c r="D156" s="67">
        <v>2025</v>
      </c>
      <c r="E156" s="67" t="s">
        <v>42</v>
      </c>
      <c r="F156" s="67" t="s">
        <v>489</v>
      </c>
      <c r="G156" s="67" t="s">
        <v>44</v>
      </c>
      <c r="H156" s="67" t="s">
        <v>451</v>
      </c>
      <c r="I156" s="67" t="s">
        <v>669</v>
      </c>
      <c r="J156" s="67" t="s">
        <v>141</v>
      </c>
      <c r="K156" s="67" t="s">
        <v>113</v>
      </c>
      <c r="L156" s="67" t="s">
        <v>184</v>
      </c>
      <c r="M156" s="67" t="s">
        <v>184</v>
      </c>
      <c r="N156" s="67" t="s">
        <v>670</v>
      </c>
      <c r="O156" s="67" t="s">
        <v>671</v>
      </c>
      <c r="P156" s="67" t="s">
        <v>49</v>
      </c>
      <c r="Q156" s="67" t="s">
        <v>50</v>
      </c>
      <c r="R156" s="68" t="s">
        <v>672</v>
      </c>
      <c r="U156" t="s">
        <v>51</v>
      </c>
    </row>
    <row r="157" spans="1:21" ht="49.5" customHeight="1" x14ac:dyDescent="0.35">
      <c r="A157" s="67">
        <f t="shared" si="0"/>
        <v>176</v>
      </c>
      <c r="B157" s="67">
        <v>25</v>
      </c>
      <c r="C157" s="67" t="s">
        <v>673</v>
      </c>
      <c r="D157" s="67">
        <v>2025</v>
      </c>
      <c r="E157" s="67" t="s">
        <v>674</v>
      </c>
      <c r="F157" s="67" t="s">
        <v>489</v>
      </c>
      <c r="G157" s="67" t="s">
        <v>44</v>
      </c>
      <c r="H157" s="67" t="s">
        <v>675</v>
      </c>
      <c r="I157" s="67" t="s">
        <v>676</v>
      </c>
      <c r="J157" s="67" t="s">
        <v>47</v>
      </c>
      <c r="K157" s="67" t="s">
        <v>263</v>
      </c>
      <c r="L157" s="67" t="s">
        <v>81</v>
      </c>
      <c r="M157" s="67" t="s">
        <v>184</v>
      </c>
      <c r="N157" s="67" t="s">
        <v>677</v>
      </c>
      <c r="O157" s="67" t="s">
        <v>678</v>
      </c>
      <c r="P157" s="67" t="s">
        <v>49</v>
      </c>
      <c r="Q157" s="67" t="s">
        <v>50</v>
      </c>
      <c r="R157" s="67" t="s">
        <v>679</v>
      </c>
      <c r="U157" t="s">
        <v>51</v>
      </c>
    </row>
    <row r="158" spans="1:21" ht="49.5" customHeight="1" x14ac:dyDescent="0.35">
      <c r="A158" s="67">
        <f t="shared" si="0"/>
        <v>177</v>
      </c>
      <c r="B158" s="67">
        <v>25</v>
      </c>
      <c r="C158" s="67" t="s">
        <v>673</v>
      </c>
      <c r="D158" s="67">
        <v>2025</v>
      </c>
      <c r="E158" s="67" t="s">
        <v>674</v>
      </c>
      <c r="F158" s="67" t="s">
        <v>489</v>
      </c>
      <c r="G158" s="67" t="s">
        <v>44</v>
      </c>
      <c r="H158" s="67" t="s">
        <v>680</v>
      </c>
      <c r="I158" s="67" t="s">
        <v>681</v>
      </c>
      <c r="J158" s="67" t="s">
        <v>263</v>
      </c>
      <c r="K158" s="67" t="s">
        <v>48</v>
      </c>
      <c r="L158" s="67" t="s">
        <v>184</v>
      </c>
      <c r="M158" s="67" t="s">
        <v>184</v>
      </c>
      <c r="N158" s="67" t="s">
        <v>682</v>
      </c>
      <c r="O158" s="67" t="s">
        <v>683</v>
      </c>
      <c r="P158" s="67" t="s">
        <v>49</v>
      </c>
      <c r="Q158" s="67" t="s">
        <v>50</v>
      </c>
      <c r="R158" s="68" t="s">
        <v>684</v>
      </c>
      <c r="U158" t="s">
        <v>51</v>
      </c>
    </row>
    <row r="159" spans="1:21" ht="49.5" customHeight="1" x14ac:dyDescent="0.35">
      <c r="A159" s="67">
        <f t="shared" si="0"/>
        <v>178</v>
      </c>
      <c r="B159" s="67">
        <v>25</v>
      </c>
      <c r="C159" s="67" t="s">
        <v>673</v>
      </c>
      <c r="D159" s="67">
        <v>2025</v>
      </c>
      <c r="E159" s="67" t="s">
        <v>674</v>
      </c>
      <c r="F159" s="67" t="s">
        <v>489</v>
      </c>
      <c r="G159" s="67" t="s">
        <v>44</v>
      </c>
      <c r="H159" s="67" t="s">
        <v>685</v>
      </c>
      <c r="I159" s="67" t="s">
        <v>686</v>
      </c>
      <c r="J159" s="67" t="s">
        <v>67</v>
      </c>
      <c r="K159" s="67" t="s">
        <v>47</v>
      </c>
      <c r="L159" s="67" t="s">
        <v>263</v>
      </c>
      <c r="M159" s="67" t="s">
        <v>184</v>
      </c>
      <c r="N159" s="67" t="s">
        <v>687</v>
      </c>
      <c r="O159" s="67" t="s">
        <v>688</v>
      </c>
      <c r="P159" s="67" t="s">
        <v>49</v>
      </c>
      <c r="Q159" s="67" t="s">
        <v>50</v>
      </c>
      <c r="R159" s="68" t="s">
        <v>689</v>
      </c>
      <c r="U159" t="s">
        <v>51</v>
      </c>
    </row>
    <row r="160" spans="1:21" ht="49.5" customHeight="1" x14ac:dyDescent="0.35">
      <c r="A160" s="67">
        <f t="shared" si="0"/>
        <v>179</v>
      </c>
      <c r="B160" s="67">
        <v>25</v>
      </c>
      <c r="C160" s="67" t="s">
        <v>673</v>
      </c>
      <c r="D160" s="67">
        <v>2025</v>
      </c>
      <c r="E160" s="67" t="s">
        <v>674</v>
      </c>
      <c r="F160" s="67" t="s">
        <v>489</v>
      </c>
      <c r="G160" s="67" t="s">
        <v>44</v>
      </c>
      <c r="H160" s="67" t="s">
        <v>690</v>
      </c>
      <c r="I160" s="67" t="s">
        <v>515</v>
      </c>
      <c r="J160" s="67" t="s">
        <v>56</v>
      </c>
      <c r="K160" s="67" t="s">
        <v>81</v>
      </c>
      <c r="L160" s="67" t="s">
        <v>184</v>
      </c>
      <c r="M160" s="67" t="s">
        <v>184</v>
      </c>
      <c r="N160" s="67" t="s">
        <v>691</v>
      </c>
      <c r="O160" s="67" t="s">
        <v>692</v>
      </c>
      <c r="P160" s="67" t="s">
        <v>49</v>
      </c>
      <c r="Q160" s="67" t="s">
        <v>50</v>
      </c>
      <c r="R160" s="68" t="s">
        <v>693</v>
      </c>
      <c r="U160" t="s">
        <v>51</v>
      </c>
    </row>
    <row r="161" spans="1:21" ht="49.5" customHeight="1" x14ac:dyDescent="0.35">
      <c r="A161" s="67">
        <f t="shared" si="0"/>
        <v>180</v>
      </c>
      <c r="B161" s="67">
        <v>25</v>
      </c>
      <c r="C161" s="67" t="s">
        <v>673</v>
      </c>
      <c r="D161" s="67">
        <v>2025</v>
      </c>
      <c r="E161" s="67" t="s">
        <v>674</v>
      </c>
      <c r="F161" s="67" t="s">
        <v>489</v>
      </c>
      <c r="G161" s="67" t="s">
        <v>44</v>
      </c>
      <c r="H161" s="67" t="s">
        <v>694</v>
      </c>
      <c r="I161" s="67" t="s">
        <v>695</v>
      </c>
      <c r="J161" s="67" t="s">
        <v>59</v>
      </c>
      <c r="K161" s="67" t="s">
        <v>184</v>
      </c>
      <c r="L161" s="67" t="s">
        <v>184</v>
      </c>
      <c r="M161" s="67" t="s">
        <v>184</v>
      </c>
      <c r="N161" s="67" t="s">
        <v>696</v>
      </c>
      <c r="O161" s="67" t="s">
        <v>184</v>
      </c>
      <c r="P161" s="67" t="s">
        <v>49</v>
      </c>
      <c r="Q161" s="67" t="s">
        <v>50</v>
      </c>
      <c r="R161" s="68" t="s">
        <v>697</v>
      </c>
      <c r="U161" t="s">
        <v>51</v>
      </c>
    </row>
    <row r="162" spans="1:21" ht="49.5" customHeight="1" x14ac:dyDescent="0.35">
      <c r="A162" s="67">
        <f t="shared" si="0"/>
        <v>181</v>
      </c>
      <c r="B162" s="67">
        <v>25</v>
      </c>
      <c r="C162" s="67" t="s">
        <v>673</v>
      </c>
      <c r="D162" s="67">
        <v>2025</v>
      </c>
      <c r="E162" s="67" t="s">
        <v>674</v>
      </c>
      <c r="F162" s="67" t="s">
        <v>489</v>
      </c>
      <c r="G162" s="67" t="s">
        <v>44</v>
      </c>
      <c r="H162" s="67" t="s">
        <v>698</v>
      </c>
      <c r="I162" s="67" t="s">
        <v>699</v>
      </c>
      <c r="J162" s="67" t="s">
        <v>176</v>
      </c>
      <c r="K162" s="67" t="s">
        <v>91</v>
      </c>
      <c r="L162" s="67" t="s">
        <v>184</v>
      </c>
      <c r="M162" s="67" t="s">
        <v>184</v>
      </c>
      <c r="N162" s="67" t="s">
        <v>700</v>
      </c>
      <c r="O162" s="67" t="s">
        <v>701</v>
      </c>
      <c r="P162" s="67" t="s">
        <v>49</v>
      </c>
      <c r="Q162" s="67" t="s">
        <v>50</v>
      </c>
      <c r="R162" s="67" t="s">
        <v>702</v>
      </c>
      <c r="U162" t="s">
        <v>51</v>
      </c>
    </row>
    <row r="163" spans="1:21" ht="49.5" customHeight="1" x14ac:dyDescent="0.35">
      <c r="A163" s="67">
        <f t="shared" si="0"/>
        <v>182</v>
      </c>
      <c r="B163" s="67">
        <v>25</v>
      </c>
      <c r="C163" s="67" t="s">
        <v>673</v>
      </c>
      <c r="D163" s="67">
        <v>2025</v>
      </c>
      <c r="E163" s="67" t="s">
        <v>674</v>
      </c>
      <c r="F163" s="67" t="s">
        <v>489</v>
      </c>
      <c r="G163" s="67" t="s">
        <v>44</v>
      </c>
      <c r="H163" s="67" t="s">
        <v>703</v>
      </c>
      <c r="I163" s="67" t="s">
        <v>704</v>
      </c>
      <c r="J163" s="67" t="s">
        <v>56</v>
      </c>
      <c r="K163" s="67" t="s">
        <v>91</v>
      </c>
      <c r="L163" s="67" t="s">
        <v>184</v>
      </c>
      <c r="M163" s="67" t="s">
        <v>184</v>
      </c>
      <c r="N163" s="67" t="s">
        <v>705</v>
      </c>
      <c r="O163" s="67" t="s">
        <v>706</v>
      </c>
      <c r="P163" s="67" t="s">
        <v>49</v>
      </c>
      <c r="Q163" s="67" t="s">
        <v>50</v>
      </c>
      <c r="R163" s="67" t="s">
        <v>707</v>
      </c>
      <c r="U163" t="s">
        <v>51</v>
      </c>
    </row>
    <row r="164" spans="1:21" ht="49.5" customHeight="1" x14ac:dyDescent="0.35">
      <c r="A164" s="67">
        <f t="shared" si="0"/>
        <v>183</v>
      </c>
      <c r="B164" s="67">
        <v>25</v>
      </c>
      <c r="C164" s="67" t="s">
        <v>673</v>
      </c>
      <c r="D164" s="67">
        <v>2025</v>
      </c>
      <c r="E164" s="67" t="s">
        <v>674</v>
      </c>
      <c r="F164" s="67" t="s">
        <v>489</v>
      </c>
      <c r="G164" s="67" t="s">
        <v>44</v>
      </c>
      <c r="H164" s="67" t="s">
        <v>708</v>
      </c>
      <c r="I164" s="67" t="s">
        <v>709</v>
      </c>
      <c r="J164" s="67" t="s">
        <v>91</v>
      </c>
      <c r="K164" s="67" t="s">
        <v>56</v>
      </c>
      <c r="L164" s="67" t="s">
        <v>184</v>
      </c>
      <c r="M164" s="67" t="s">
        <v>184</v>
      </c>
      <c r="N164" s="67" t="s">
        <v>710</v>
      </c>
      <c r="O164" s="67" t="s">
        <v>711</v>
      </c>
      <c r="P164" s="67" t="s">
        <v>49</v>
      </c>
      <c r="Q164" s="67" t="s">
        <v>50</v>
      </c>
      <c r="R164" s="67" t="s">
        <v>712</v>
      </c>
      <c r="U164" t="s">
        <v>51</v>
      </c>
    </row>
    <row r="165" spans="1:21" ht="49.5" customHeight="1" x14ac:dyDescent="0.35">
      <c r="A165" s="67">
        <f t="shared" si="0"/>
        <v>184</v>
      </c>
      <c r="B165" s="67">
        <v>25</v>
      </c>
      <c r="C165" s="67" t="s">
        <v>673</v>
      </c>
      <c r="D165" s="67">
        <v>2025</v>
      </c>
      <c r="E165" s="67" t="s">
        <v>674</v>
      </c>
      <c r="F165" s="67" t="s">
        <v>489</v>
      </c>
      <c r="G165" s="67" t="s">
        <v>44</v>
      </c>
      <c r="H165" s="67" t="s">
        <v>713</v>
      </c>
      <c r="I165" s="67" t="s">
        <v>714</v>
      </c>
      <c r="J165" s="67" t="s">
        <v>113</v>
      </c>
      <c r="K165" s="67" t="s">
        <v>141</v>
      </c>
      <c r="L165" s="67" t="s">
        <v>184</v>
      </c>
      <c r="M165" s="67" t="s">
        <v>184</v>
      </c>
      <c r="N165" s="68" t="s">
        <v>715</v>
      </c>
      <c r="O165" s="67" t="s">
        <v>716</v>
      </c>
      <c r="P165" s="67" t="s">
        <v>49</v>
      </c>
      <c r="Q165" s="67" t="s">
        <v>50</v>
      </c>
      <c r="R165" s="68" t="s">
        <v>717</v>
      </c>
      <c r="U165" t="s">
        <v>51</v>
      </c>
    </row>
    <row r="166" spans="1:21" ht="49.5" customHeight="1" x14ac:dyDescent="0.35">
      <c r="A166" s="67">
        <f t="shared" si="0"/>
        <v>185</v>
      </c>
      <c r="B166" s="67">
        <v>25</v>
      </c>
      <c r="C166" s="67" t="s">
        <v>673</v>
      </c>
      <c r="D166" s="67">
        <v>2025</v>
      </c>
      <c r="E166" s="67" t="s">
        <v>674</v>
      </c>
      <c r="F166" s="67" t="s">
        <v>489</v>
      </c>
      <c r="G166" s="67" t="s">
        <v>44</v>
      </c>
      <c r="H166" s="67" t="s">
        <v>718</v>
      </c>
      <c r="I166" s="67" t="s">
        <v>719</v>
      </c>
      <c r="J166" s="67" t="s">
        <v>263</v>
      </c>
      <c r="K166" s="67" t="s">
        <v>48</v>
      </c>
      <c r="L166" s="67" t="s">
        <v>184</v>
      </c>
      <c r="M166" s="67" t="s">
        <v>184</v>
      </c>
      <c r="N166" s="67" t="s">
        <v>720</v>
      </c>
      <c r="O166" s="67" t="s">
        <v>721</v>
      </c>
      <c r="P166" s="67" t="s">
        <v>49</v>
      </c>
      <c r="Q166" s="67" t="s">
        <v>50</v>
      </c>
      <c r="R166" s="67" t="s">
        <v>722</v>
      </c>
      <c r="U166" t="s">
        <v>51</v>
      </c>
    </row>
    <row r="167" spans="1:21" ht="49.5" customHeight="1" x14ac:dyDescent="0.35">
      <c r="A167" s="67">
        <f t="shared" si="0"/>
        <v>186</v>
      </c>
      <c r="B167" s="67">
        <v>28</v>
      </c>
      <c r="C167" s="67" t="s">
        <v>723</v>
      </c>
      <c r="D167" s="67">
        <v>2024</v>
      </c>
      <c r="E167" s="67" t="s">
        <v>42</v>
      </c>
      <c r="F167" s="67" t="s">
        <v>724</v>
      </c>
      <c r="G167" s="67" t="s">
        <v>44</v>
      </c>
      <c r="H167" s="67" t="s">
        <v>725</v>
      </c>
      <c r="I167" s="67" t="s">
        <v>726</v>
      </c>
      <c r="J167" s="67" t="s">
        <v>113</v>
      </c>
      <c r="K167" s="67" t="s">
        <v>141</v>
      </c>
      <c r="L167" s="67" t="s">
        <v>184</v>
      </c>
      <c r="M167" s="67" t="s">
        <v>184</v>
      </c>
      <c r="N167" s="68" t="s">
        <v>727</v>
      </c>
      <c r="O167" s="67" t="s">
        <v>728</v>
      </c>
      <c r="P167" s="67" t="s">
        <v>49</v>
      </c>
      <c r="Q167" s="67" t="s">
        <v>50</v>
      </c>
      <c r="R167" s="68" t="s">
        <v>729</v>
      </c>
      <c r="U167" t="s">
        <v>51</v>
      </c>
    </row>
    <row r="168" spans="1:21" ht="49.5" customHeight="1" x14ac:dyDescent="0.35">
      <c r="A168" s="67">
        <f t="shared" si="0"/>
        <v>187</v>
      </c>
      <c r="B168" s="67">
        <v>28</v>
      </c>
      <c r="C168" s="67" t="s">
        <v>723</v>
      </c>
      <c r="D168" s="67">
        <v>2024</v>
      </c>
      <c r="E168" s="67" t="s">
        <v>42</v>
      </c>
      <c r="F168" s="67" t="s">
        <v>724</v>
      </c>
      <c r="G168" s="67" t="s">
        <v>44</v>
      </c>
      <c r="H168" s="67" t="s">
        <v>417</v>
      </c>
      <c r="I168" s="67" t="s">
        <v>730</v>
      </c>
      <c r="J168" s="67" t="s">
        <v>59</v>
      </c>
      <c r="K168" s="67" t="s">
        <v>184</v>
      </c>
      <c r="L168" s="67" t="s">
        <v>184</v>
      </c>
      <c r="M168" s="67" t="s">
        <v>184</v>
      </c>
      <c r="N168" s="67" t="s">
        <v>731</v>
      </c>
      <c r="O168" s="67" t="s">
        <v>184</v>
      </c>
      <c r="P168" s="67" t="s">
        <v>49</v>
      </c>
      <c r="Q168" s="67" t="s">
        <v>50</v>
      </c>
      <c r="R168" s="68" t="s">
        <v>732</v>
      </c>
      <c r="U168" t="s">
        <v>51</v>
      </c>
    </row>
    <row r="169" spans="1:21" ht="49.5" customHeight="1" x14ac:dyDescent="0.35">
      <c r="A169" s="67">
        <f t="shared" si="0"/>
        <v>188</v>
      </c>
      <c r="B169" s="67">
        <v>28</v>
      </c>
      <c r="C169" s="67" t="s">
        <v>723</v>
      </c>
      <c r="D169" s="67">
        <v>2024</v>
      </c>
      <c r="E169" s="67" t="s">
        <v>42</v>
      </c>
      <c r="F169" s="67" t="s">
        <v>724</v>
      </c>
      <c r="G169" s="67" t="s">
        <v>44</v>
      </c>
      <c r="H169" s="67" t="s">
        <v>733</v>
      </c>
      <c r="I169" s="67" t="s">
        <v>734</v>
      </c>
      <c r="J169" s="67" t="s">
        <v>91</v>
      </c>
      <c r="K169" s="67" t="s">
        <v>176</v>
      </c>
      <c r="L169" s="67" t="s">
        <v>184</v>
      </c>
      <c r="M169" s="67" t="s">
        <v>184</v>
      </c>
      <c r="N169" s="67" t="s">
        <v>735</v>
      </c>
      <c r="O169" s="67" t="s">
        <v>736</v>
      </c>
      <c r="P169" s="67" t="s">
        <v>49</v>
      </c>
      <c r="Q169" s="67" t="s">
        <v>50</v>
      </c>
      <c r="R169" s="68" t="s">
        <v>737</v>
      </c>
      <c r="U169" t="s">
        <v>51</v>
      </c>
    </row>
    <row r="170" spans="1:21" ht="49.5" customHeight="1" x14ac:dyDescent="0.35">
      <c r="A170" s="67">
        <f t="shared" si="0"/>
        <v>189</v>
      </c>
      <c r="B170" s="67">
        <v>28</v>
      </c>
      <c r="C170" s="67" t="s">
        <v>723</v>
      </c>
      <c r="D170" s="67">
        <v>2024</v>
      </c>
      <c r="E170" s="67" t="s">
        <v>42</v>
      </c>
      <c r="F170" s="67" t="s">
        <v>724</v>
      </c>
      <c r="G170" s="67" t="s">
        <v>44</v>
      </c>
      <c r="H170" s="67" t="s">
        <v>738</v>
      </c>
      <c r="I170" s="67" t="s">
        <v>739</v>
      </c>
      <c r="J170" s="67" t="s">
        <v>91</v>
      </c>
      <c r="K170" s="67" t="s">
        <v>56</v>
      </c>
      <c r="L170" s="67" t="s">
        <v>184</v>
      </c>
      <c r="M170" s="67" t="s">
        <v>184</v>
      </c>
      <c r="N170" s="67" t="s">
        <v>740</v>
      </c>
      <c r="O170" s="67" t="s">
        <v>741</v>
      </c>
      <c r="P170" s="67" t="s">
        <v>49</v>
      </c>
      <c r="Q170" s="67" t="s">
        <v>50</v>
      </c>
      <c r="R170" s="68" t="s">
        <v>742</v>
      </c>
      <c r="U170" t="s">
        <v>51</v>
      </c>
    </row>
    <row r="171" spans="1:21" ht="49.5" customHeight="1" x14ac:dyDescent="0.35">
      <c r="A171" s="67">
        <f t="shared" si="0"/>
        <v>190</v>
      </c>
      <c r="B171" s="67">
        <v>28</v>
      </c>
      <c r="C171" s="67" t="s">
        <v>723</v>
      </c>
      <c r="D171" s="67">
        <v>2024</v>
      </c>
      <c r="E171" s="67" t="s">
        <v>42</v>
      </c>
      <c r="F171" s="67" t="s">
        <v>724</v>
      </c>
      <c r="G171" s="67" t="s">
        <v>44</v>
      </c>
      <c r="H171" s="67" t="s">
        <v>743</v>
      </c>
      <c r="I171" s="67" t="s">
        <v>744</v>
      </c>
      <c r="J171" s="67" t="s">
        <v>59</v>
      </c>
      <c r="K171" s="67" t="s">
        <v>91</v>
      </c>
      <c r="L171" s="67" t="s">
        <v>184</v>
      </c>
      <c r="M171" s="67" t="s">
        <v>184</v>
      </c>
      <c r="N171" s="67" t="s">
        <v>745</v>
      </c>
      <c r="O171" s="67" t="s">
        <v>746</v>
      </c>
      <c r="P171" s="67" t="s">
        <v>49</v>
      </c>
      <c r="Q171" s="67" t="s">
        <v>50</v>
      </c>
      <c r="R171" s="68" t="s">
        <v>747</v>
      </c>
      <c r="U171" t="s">
        <v>51</v>
      </c>
    </row>
    <row r="172" spans="1:21" ht="49.5" customHeight="1" x14ac:dyDescent="0.35">
      <c r="A172" s="67">
        <f t="shared" si="0"/>
        <v>191</v>
      </c>
      <c r="B172" s="67">
        <v>28</v>
      </c>
      <c r="C172" s="67" t="s">
        <v>723</v>
      </c>
      <c r="D172" s="67">
        <v>2024</v>
      </c>
      <c r="E172" s="67" t="s">
        <v>42</v>
      </c>
      <c r="F172" s="67" t="s">
        <v>724</v>
      </c>
      <c r="G172" s="67" t="s">
        <v>44</v>
      </c>
      <c r="H172" s="67" t="s">
        <v>748</v>
      </c>
      <c r="I172" s="67" t="s">
        <v>749</v>
      </c>
      <c r="J172" s="67" t="s">
        <v>263</v>
      </c>
      <c r="K172" s="67" t="s">
        <v>48</v>
      </c>
      <c r="L172" s="67" t="s">
        <v>184</v>
      </c>
      <c r="M172" s="67" t="s">
        <v>184</v>
      </c>
      <c r="N172" s="67" t="s">
        <v>750</v>
      </c>
      <c r="O172" s="67" t="s">
        <v>751</v>
      </c>
      <c r="P172" s="67" t="s">
        <v>49</v>
      </c>
      <c r="Q172" s="67" t="s">
        <v>50</v>
      </c>
      <c r="R172" s="68" t="s">
        <v>752</v>
      </c>
      <c r="U172" t="s">
        <v>51</v>
      </c>
    </row>
    <row r="173" spans="1:21" ht="49.5" customHeight="1" x14ac:dyDescent="0.35">
      <c r="A173" s="67">
        <f t="shared" si="0"/>
        <v>192</v>
      </c>
      <c r="B173" s="67">
        <v>28</v>
      </c>
      <c r="C173" s="67" t="s">
        <v>723</v>
      </c>
      <c r="D173" s="67">
        <v>2024</v>
      </c>
      <c r="E173" s="67" t="s">
        <v>42</v>
      </c>
      <c r="F173" s="67" t="s">
        <v>724</v>
      </c>
      <c r="G173" s="67" t="s">
        <v>44</v>
      </c>
      <c r="H173" s="67" t="s">
        <v>753</v>
      </c>
      <c r="I173" s="67" t="s">
        <v>754</v>
      </c>
      <c r="J173" s="67" t="s">
        <v>48</v>
      </c>
      <c r="K173" s="67" t="s">
        <v>263</v>
      </c>
      <c r="L173" s="67" t="s">
        <v>184</v>
      </c>
      <c r="M173" s="67" t="s">
        <v>184</v>
      </c>
      <c r="N173" s="67" t="s">
        <v>755</v>
      </c>
      <c r="O173" s="67" t="s">
        <v>756</v>
      </c>
      <c r="P173" s="67" t="s">
        <v>49</v>
      </c>
      <c r="Q173" s="67" t="s">
        <v>50</v>
      </c>
      <c r="R173" s="68" t="s">
        <v>757</v>
      </c>
      <c r="U173" t="s">
        <v>51</v>
      </c>
    </row>
    <row r="174" spans="1:21" ht="49.5" customHeight="1" x14ac:dyDescent="0.35">
      <c r="A174" s="67">
        <f t="shared" si="0"/>
        <v>193</v>
      </c>
      <c r="B174" s="67">
        <v>28</v>
      </c>
      <c r="C174" s="67" t="s">
        <v>723</v>
      </c>
      <c r="D174" s="67">
        <v>2024</v>
      </c>
      <c r="E174" s="67" t="s">
        <v>42</v>
      </c>
      <c r="F174" s="67" t="s">
        <v>724</v>
      </c>
      <c r="G174" s="67" t="s">
        <v>44</v>
      </c>
      <c r="H174" s="67" t="s">
        <v>758</v>
      </c>
      <c r="I174" s="67" t="s">
        <v>759</v>
      </c>
      <c r="J174" s="67" t="s">
        <v>47</v>
      </c>
      <c r="K174" s="67" t="s">
        <v>67</v>
      </c>
      <c r="L174" s="67" t="s">
        <v>184</v>
      </c>
      <c r="M174" s="67" t="s">
        <v>184</v>
      </c>
      <c r="N174" s="67" t="s">
        <v>760</v>
      </c>
      <c r="O174" s="67" t="s">
        <v>761</v>
      </c>
      <c r="P174" s="67" t="s">
        <v>49</v>
      </c>
      <c r="Q174" s="67" t="s">
        <v>50</v>
      </c>
      <c r="R174" s="68" t="s">
        <v>762</v>
      </c>
      <c r="U174" t="s">
        <v>51</v>
      </c>
    </row>
    <row r="175" spans="1:21" ht="49.5" customHeight="1" x14ac:dyDescent="0.35">
      <c r="A175" s="20" t="str">
        <f t="shared" ref="A175:A198" si="1">IF(I175&lt;&gt;"",ROW()-3,"")</f>
        <v/>
      </c>
      <c r="B175" s="12"/>
      <c r="C175" s="12"/>
      <c r="D175" s="12"/>
      <c r="E175" s="12"/>
      <c r="F175" s="12"/>
      <c r="G175" s="12"/>
      <c r="H175" s="12"/>
      <c r="I175" s="12"/>
      <c r="J175" s="12"/>
      <c r="K175" s="12"/>
      <c r="L175" s="12"/>
      <c r="M175" s="12"/>
      <c r="N175" s="12"/>
      <c r="O175" s="12"/>
      <c r="P175" s="12"/>
      <c r="Q175" s="12"/>
      <c r="R175" s="12"/>
    </row>
    <row r="176" spans="1:21" ht="49.5" customHeight="1" x14ac:dyDescent="0.35">
      <c r="A176" s="21" t="str">
        <f t="shared" si="1"/>
        <v/>
      </c>
      <c r="B176" s="5"/>
      <c r="C176" s="5"/>
      <c r="D176" s="5"/>
      <c r="E176" s="5"/>
      <c r="F176" s="5"/>
      <c r="G176" s="5"/>
      <c r="H176" s="5"/>
      <c r="I176" s="5"/>
      <c r="J176" s="5"/>
      <c r="K176" s="5"/>
      <c r="L176" s="5"/>
      <c r="M176" s="5"/>
      <c r="N176" s="5"/>
      <c r="O176" s="5"/>
      <c r="P176" s="5"/>
      <c r="Q176" s="5"/>
      <c r="R176" s="5"/>
    </row>
    <row r="177" spans="1:18" ht="49.5" customHeight="1" x14ac:dyDescent="0.35">
      <c r="A177" s="20" t="str">
        <f t="shared" si="1"/>
        <v/>
      </c>
      <c r="B177" s="12"/>
      <c r="C177" s="12"/>
      <c r="D177" s="12"/>
      <c r="E177" s="12"/>
      <c r="F177" s="12"/>
      <c r="G177" s="12"/>
      <c r="H177" s="12"/>
      <c r="I177" s="12"/>
      <c r="J177" s="12"/>
      <c r="K177" s="12"/>
      <c r="L177" s="12"/>
      <c r="M177" s="12"/>
      <c r="N177" s="12"/>
      <c r="O177" s="12"/>
      <c r="P177" s="12"/>
      <c r="Q177" s="12"/>
      <c r="R177" s="12"/>
    </row>
    <row r="178" spans="1:18" ht="49.5" customHeight="1" x14ac:dyDescent="0.35">
      <c r="A178" s="21" t="str">
        <f t="shared" si="1"/>
        <v/>
      </c>
      <c r="B178" s="5"/>
      <c r="C178" s="5"/>
      <c r="D178" s="5"/>
      <c r="E178" s="5"/>
      <c r="F178" s="5"/>
      <c r="G178" s="5"/>
      <c r="H178" s="5"/>
      <c r="I178" s="5"/>
      <c r="J178" s="5"/>
      <c r="K178" s="5"/>
      <c r="L178" s="5"/>
      <c r="M178" s="5"/>
      <c r="N178" s="5"/>
      <c r="O178" s="5"/>
      <c r="P178" s="5"/>
      <c r="Q178" s="5"/>
      <c r="R178" s="5"/>
    </row>
    <row r="179" spans="1:18" ht="49.5" customHeight="1" x14ac:dyDescent="0.35">
      <c r="A179" s="20" t="str">
        <f t="shared" si="1"/>
        <v/>
      </c>
      <c r="B179" s="12"/>
      <c r="C179" s="12"/>
      <c r="D179" s="12"/>
      <c r="E179" s="12"/>
      <c r="F179" s="12"/>
      <c r="G179" s="12"/>
      <c r="H179" s="12"/>
      <c r="I179" s="12"/>
      <c r="J179" s="12"/>
      <c r="K179" s="12"/>
      <c r="L179" s="12"/>
      <c r="M179" s="12"/>
      <c r="N179" s="12"/>
      <c r="O179" s="12"/>
      <c r="P179" s="12"/>
      <c r="Q179" s="12"/>
      <c r="R179" s="12"/>
    </row>
    <row r="180" spans="1:18" ht="49.5" customHeight="1" x14ac:dyDescent="0.35">
      <c r="A180" s="21" t="str">
        <f t="shared" si="1"/>
        <v/>
      </c>
      <c r="B180" s="5"/>
      <c r="C180" s="5"/>
      <c r="D180" s="5"/>
      <c r="E180" s="5"/>
      <c r="F180" s="5"/>
      <c r="G180" s="5"/>
      <c r="H180" s="5"/>
      <c r="I180" s="5"/>
      <c r="J180" s="5"/>
      <c r="K180" s="5"/>
      <c r="L180" s="5"/>
      <c r="M180" s="5"/>
      <c r="N180" s="5"/>
      <c r="O180" s="5"/>
      <c r="P180" s="5"/>
      <c r="Q180" s="5"/>
      <c r="R180" s="5"/>
    </row>
    <row r="181" spans="1:18" ht="49.5" customHeight="1" x14ac:dyDescent="0.35">
      <c r="A181" s="20" t="str">
        <f t="shared" si="1"/>
        <v/>
      </c>
      <c r="B181" s="12"/>
      <c r="C181" s="12"/>
      <c r="D181" s="12"/>
      <c r="E181" s="12"/>
      <c r="F181" s="12"/>
      <c r="G181" s="12"/>
      <c r="H181" s="12"/>
      <c r="I181" s="12"/>
      <c r="J181" s="12"/>
      <c r="K181" s="12"/>
      <c r="L181" s="12"/>
      <c r="M181" s="12"/>
      <c r="N181" s="12"/>
      <c r="O181" s="12"/>
      <c r="P181" s="12"/>
      <c r="Q181" s="12"/>
      <c r="R181" s="12"/>
    </row>
    <row r="182" spans="1:18" ht="49.5" customHeight="1" x14ac:dyDescent="0.35">
      <c r="A182" s="21" t="str">
        <f t="shared" si="1"/>
        <v/>
      </c>
      <c r="B182" s="5"/>
      <c r="C182" s="5"/>
      <c r="D182" s="5"/>
      <c r="E182" s="5"/>
      <c r="F182" s="5"/>
      <c r="G182" s="5"/>
      <c r="H182" s="5"/>
      <c r="I182" s="5"/>
      <c r="J182" s="5"/>
      <c r="K182" s="5"/>
      <c r="L182" s="5"/>
      <c r="M182" s="5"/>
      <c r="N182" s="5"/>
      <c r="O182" s="5"/>
      <c r="P182" s="5"/>
      <c r="Q182" s="5"/>
      <c r="R182" s="5"/>
    </row>
    <row r="183" spans="1:18" ht="49.5" customHeight="1" x14ac:dyDescent="0.35">
      <c r="A183" s="20" t="str">
        <f t="shared" si="1"/>
        <v/>
      </c>
      <c r="B183" s="12"/>
      <c r="C183" s="12"/>
      <c r="D183" s="12"/>
      <c r="E183" s="12"/>
      <c r="F183" s="12"/>
      <c r="G183" s="12"/>
      <c r="H183" s="12"/>
      <c r="I183" s="12"/>
      <c r="J183" s="12"/>
      <c r="K183" s="12"/>
      <c r="L183" s="12"/>
      <c r="M183" s="12"/>
      <c r="N183" s="12"/>
      <c r="O183" s="12"/>
      <c r="P183" s="12"/>
      <c r="Q183" s="12"/>
      <c r="R183" s="12"/>
    </row>
    <row r="184" spans="1:18" ht="49.5" customHeight="1" x14ac:dyDescent="0.35">
      <c r="A184" s="21" t="str">
        <f t="shared" si="1"/>
        <v/>
      </c>
      <c r="B184" s="5"/>
      <c r="C184" s="5"/>
      <c r="D184" s="5"/>
      <c r="E184" s="5"/>
      <c r="F184" s="5"/>
      <c r="G184" s="5"/>
      <c r="H184" s="5"/>
      <c r="I184" s="5"/>
      <c r="J184" s="5"/>
      <c r="K184" s="5"/>
      <c r="L184" s="5"/>
      <c r="M184" s="5"/>
      <c r="N184" s="5"/>
      <c r="O184" s="5"/>
      <c r="P184" s="5"/>
      <c r="Q184" s="5"/>
      <c r="R184" s="5"/>
    </row>
    <row r="185" spans="1:18" ht="49.5" customHeight="1" x14ac:dyDescent="0.35">
      <c r="A185" s="20" t="str">
        <f t="shared" si="1"/>
        <v/>
      </c>
      <c r="B185" s="12"/>
      <c r="C185" s="12"/>
      <c r="D185" s="12"/>
      <c r="E185" s="12"/>
      <c r="F185" s="12"/>
      <c r="G185" s="12"/>
      <c r="H185" s="12"/>
      <c r="I185" s="12"/>
      <c r="J185" s="12"/>
      <c r="K185" s="12"/>
      <c r="L185" s="12"/>
      <c r="M185" s="12"/>
      <c r="N185" s="12"/>
      <c r="O185" s="12"/>
      <c r="P185" s="12"/>
      <c r="Q185" s="12"/>
      <c r="R185" s="12"/>
    </row>
    <row r="186" spans="1:18" ht="49.5" customHeight="1" x14ac:dyDescent="0.35">
      <c r="A186" s="21" t="str">
        <f t="shared" si="1"/>
        <v/>
      </c>
      <c r="B186" s="5"/>
      <c r="C186" s="5"/>
      <c r="D186" s="5"/>
      <c r="E186" s="5"/>
      <c r="F186" s="5"/>
      <c r="G186" s="5"/>
      <c r="H186" s="5"/>
      <c r="I186" s="5"/>
      <c r="J186" s="5"/>
      <c r="K186" s="5"/>
      <c r="L186" s="5"/>
      <c r="M186" s="5"/>
      <c r="N186" s="5"/>
      <c r="O186" s="5"/>
      <c r="P186" s="5"/>
      <c r="Q186" s="5"/>
      <c r="R186" s="5"/>
    </row>
    <row r="187" spans="1:18" ht="49.5" customHeight="1" x14ac:dyDescent="0.35">
      <c r="A187" s="20" t="str">
        <f t="shared" si="1"/>
        <v/>
      </c>
      <c r="B187" s="12"/>
      <c r="C187" s="12"/>
      <c r="D187" s="12"/>
      <c r="E187" s="12"/>
      <c r="F187" s="12"/>
      <c r="G187" s="12"/>
      <c r="H187" s="12"/>
      <c r="I187" s="12"/>
      <c r="J187" s="12"/>
      <c r="K187" s="12"/>
      <c r="L187" s="12"/>
      <c r="M187" s="12"/>
      <c r="N187" s="12"/>
      <c r="O187" s="12"/>
      <c r="P187" s="12"/>
      <c r="Q187" s="12"/>
      <c r="R187" s="12"/>
    </row>
    <row r="188" spans="1:18" ht="49.5" customHeight="1" x14ac:dyDescent="0.35">
      <c r="A188" s="21" t="str">
        <f t="shared" si="1"/>
        <v/>
      </c>
      <c r="B188" s="5"/>
      <c r="C188" s="5"/>
      <c r="D188" s="5"/>
      <c r="E188" s="5"/>
      <c r="F188" s="5"/>
      <c r="G188" s="5"/>
      <c r="H188" s="5"/>
      <c r="I188" s="5"/>
      <c r="J188" s="5"/>
      <c r="K188" s="5"/>
      <c r="L188" s="5"/>
      <c r="M188" s="5"/>
      <c r="N188" s="5"/>
      <c r="O188" s="5"/>
      <c r="P188" s="5"/>
      <c r="Q188" s="5"/>
      <c r="R188" s="5"/>
    </row>
    <row r="189" spans="1:18" ht="49.5" customHeight="1" x14ac:dyDescent="0.35">
      <c r="A189" s="20" t="str">
        <f t="shared" si="1"/>
        <v/>
      </c>
      <c r="B189" s="12"/>
      <c r="C189" s="12"/>
      <c r="D189" s="12"/>
      <c r="E189" s="12"/>
      <c r="F189" s="12"/>
      <c r="G189" s="12"/>
      <c r="H189" s="12"/>
      <c r="I189" s="12"/>
      <c r="J189" s="12"/>
      <c r="K189" s="12"/>
      <c r="L189" s="12"/>
      <c r="M189" s="12"/>
      <c r="N189" s="12"/>
      <c r="O189" s="12"/>
      <c r="P189" s="12"/>
      <c r="Q189" s="12"/>
      <c r="R189" s="12"/>
    </row>
    <row r="190" spans="1:18" ht="49.5" customHeight="1" x14ac:dyDescent="0.35">
      <c r="A190" s="21" t="str">
        <f t="shared" si="1"/>
        <v/>
      </c>
      <c r="B190" s="5"/>
      <c r="C190" s="5"/>
      <c r="D190" s="5"/>
      <c r="E190" s="5"/>
      <c r="F190" s="5"/>
      <c r="G190" s="5"/>
      <c r="H190" s="5"/>
      <c r="I190" s="5"/>
      <c r="J190" s="5"/>
      <c r="K190" s="5"/>
      <c r="L190" s="5"/>
      <c r="M190" s="5"/>
      <c r="N190" s="5"/>
      <c r="O190" s="5"/>
      <c r="P190" s="5"/>
      <c r="Q190" s="5"/>
      <c r="R190" s="5"/>
    </row>
    <row r="191" spans="1:18" ht="49.5" customHeight="1" x14ac:dyDescent="0.35">
      <c r="A191" s="20" t="str">
        <f t="shared" si="1"/>
        <v/>
      </c>
      <c r="B191" s="12"/>
      <c r="C191" s="12"/>
      <c r="D191" s="12"/>
      <c r="E191" s="12"/>
      <c r="F191" s="12"/>
      <c r="G191" s="12"/>
      <c r="H191" s="12"/>
      <c r="I191" s="12"/>
      <c r="J191" s="12"/>
      <c r="K191" s="12"/>
      <c r="L191" s="12"/>
      <c r="M191" s="12"/>
      <c r="N191" s="12"/>
      <c r="O191" s="12"/>
      <c r="P191" s="12"/>
      <c r="Q191" s="12"/>
      <c r="R191" s="12"/>
    </row>
    <row r="192" spans="1:18" ht="49.5" customHeight="1" x14ac:dyDescent="0.35">
      <c r="A192" s="21" t="str">
        <f t="shared" si="1"/>
        <v/>
      </c>
      <c r="B192" s="5"/>
      <c r="C192" s="5"/>
      <c r="D192" s="5"/>
      <c r="E192" s="5"/>
      <c r="F192" s="5"/>
      <c r="G192" s="5"/>
      <c r="H192" s="5"/>
      <c r="I192" s="5"/>
      <c r="J192" s="5"/>
      <c r="K192" s="5"/>
      <c r="L192" s="5"/>
      <c r="M192" s="5"/>
      <c r="N192" s="5"/>
      <c r="O192" s="5"/>
      <c r="P192" s="5"/>
      <c r="Q192" s="5"/>
      <c r="R192" s="5"/>
    </row>
    <row r="193" spans="1:18" ht="49.5" customHeight="1" x14ac:dyDescent="0.35">
      <c r="A193" s="20" t="str">
        <f t="shared" si="1"/>
        <v/>
      </c>
      <c r="B193" s="12"/>
      <c r="C193" s="12"/>
      <c r="D193" s="12"/>
      <c r="E193" s="12"/>
      <c r="F193" s="12"/>
      <c r="G193" s="12"/>
      <c r="H193" s="12"/>
      <c r="I193" s="12"/>
      <c r="J193" s="12"/>
      <c r="K193" s="12"/>
      <c r="L193" s="12"/>
      <c r="M193" s="12"/>
      <c r="N193" s="12"/>
      <c r="O193" s="12"/>
      <c r="P193" s="12"/>
      <c r="Q193" s="12"/>
      <c r="R193" s="12"/>
    </row>
    <row r="194" spans="1:18" ht="49.5" customHeight="1" x14ac:dyDescent="0.35">
      <c r="A194" s="21" t="str">
        <f t="shared" si="1"/>
        <v/>
      </c>
      <c r="B194" s="5"/>
      <c r="C194" s="5"/>
      <c r="D194" s="5"/>
      <c r="E194" s="5"/>
      <c r="F194" s="5"/>
      <c r="G194" s="5"/>
      <c r="H194" s="5"/>
      <c r="I194" s="5"/>
      <c r="J194" s="5"/>
      <c r="K194" s="5"/>
      <c r="L194" s="5"/>
      <c r="M194" s="5"/>
      <c r="N194" s="5"/>
      <c r="O194" s="5"/>
      <c r="P194" s="5"/>
      <c r="Q194" s="5"/>
      <c r="R194" s="5"/>
    </row>
    <row r="195" spans="1:18" ht="49.5" customHeight="1" x14ac:dyDescent="0.35">
      <c r="A195" s="20" t="str">
        <f t="shared" si="1"/>
        <v/>
      </c>
      <c r="B195" s="12"/>
      <c r="C195" s="12"/>
      <c r="D195" s="12"/>
      <c r="E195" s="12"/>
      <c r="F195" s="12"/>
      <c r="G195" s="12"/>
      <c r="H195" s="12"/>
      <c r="I195" s="12"/>
      <c r="J195" s="12"/>
      <c r="K195" s="12"/>
      <c r="L195" s="12"/>
      <c r="M195" s="12"/>
      <c r="N195" s="12"/>
      <c r="O195" s="12"/>
      <c r="P195" s="12"/>
      <c r="Q195" s="12"/>
      <c r="R195" s="12"/>
    </row>
    <row r="196" spans="1:18" ht="49.5" customHeight="1" x14ac:dyDescent="0.35">
      <c r="A196" s="21" t="str">
        <f t="shared" si="1"/>
        <v/>
      </c>
      <c r="B196" s="5"/>
      <c r="C196" s="5"/>
      <c r="D196" s="5"/>
      <c r="E196" s="5"/>
      <c r="F196" s="5"/>
      <c r="G196" s="5"/>
      <c r="H196" s="5"/>
      <c r="I196" s="5"/>
      <c r="J196" s="5"/>
      <c r="K196" s="5"/>
      <c r="L196" s="5"/>
      <c r="M196" s="5"/>
      <c r="N196" s="5"/>
      <c r="O196" s="5"/>
      <c r="P196" s="5"/>
      <c r="Q196" s="5"/>
      <c r="R196" s="5"/>
    </row>
    <row r="197" spans="1:18" ht="49.5" customHeight="1" x14ac:dyDescent="0.35">
      <c r="A197" s="20" t="str">
        <f t="shared" si="1"/>
        <v/>
      </c>
      <c r="B197" s="12"/>
      <c r="C197" s="12"/>
      <c r="D197" s="12"/>
      <c r="E197" s="12"/>
      <c r="F197" s="12"/>
      <c r="G197" s="12"/>
      <c r="H197" s="12"/>
      <c r="I197" s="12"/>
      <c r="J197" s="12"/>
      <c r="K197" s="12"/>
      <c r="L197" s="12"/>
      <c r="M197" s="12"/>
      <c r="N197" s="12"/>
      <c r="O197" s="12"/>
      <c r="P197" s="12"/>
      <c r="Q197" s="12"/>
      <c r="R197" s="12"/>
    </row>
    <row r="198" spans="1:18" ht="49.5" customHeight="1" x14ac:dyDescent="0.35">
      <c r="A198" s="21" t="str">
        <f t="shared" si="1"/>
        <v/>
      </c>
      <c r="B198" s="5"/>
      <c r="C198" s="5"/>
      <c r="D198" s="5"/>
      <c r="E198" s="5"/>
      <c r="F198" s="5"/>
      <c r="G198" s="5"/>
      <c r="H198" s="5"/>
      <c r="I198" s="5"/>
      <c r="J198" s="5"/>
      <c r="K198" s="5"/>
      <c r="L198" s="5"/>
      <c r="M198" s="5"/>
      <c r="N198" s="5"/>
      <c r="O198" s="5"/>
      <c r="P198" s="5"/>
      <c r="Q198" s="5"/>
      <c r="R198" s="5"/>
    </row>
  </sheetData>
  <mergeCells count="2">
    <mergeCell ref="A2:R2"/>
    <mergeCell ref="A1:R1"/>
  </mergeCells>
  <dataValidations count="4">
    <dataValidation type="list" allowBlank="1" showErrorMessage="1" errorTitle="Invalid code" error="Enter a valid code from the codebook" sqref="J4:L6 J8:L12 J14:J43 J92:K103 J175:L498 K7:L7 K13:L43 K114:L122 L123:L128" xr:uid="{00000000-0002-0000-0000-000000000000}">
      <formula1>"ORG-01,ORG-02,ORG-03,ORG-04,ORG-05,ORG-06,ORG-07,TEC-01,TEC-02,TEC-03,TEC-04,TEC-05,TEC-06,PRO-01,PRO-02,PRO-03,PRO-04,PRO-05,PRO-06,EMER-01,EMER-02,EMER-03,EMER-04,EMER-05"</formula1>
      <formula2>0</formula2>
    </dataValidation>
    <dataValidation type="list" allowBlank="1" sqref="J7 J13 L92:L103 M4:M14 M15:M43 M104:M128 M175:M498" xr:uid="{00000000-0002-0000-0000-000001000000}">
      <formula1>"CRS-01,CRS-02,CRS-03,CRS-04"</formula1>
      <formula2>0</formula2>
    </dataValidation>
    <dataValidation type="list" allowBlank="1" sqref="P4:P72 P92:P128 P175:P498" xr:uid="{00000000-0002-0000-0000-000002000000}">
      <formula1>"Pass 1,Pass 2"</formula1>
      <formula2>0</formula2>
    </dataValidation>
    <dataValidation type="list" allowBlank="1" sqref="Q4:Q72 Q92:Q128 Q175:Q498" xr:uid="{00000000-0002-0000-0000-000003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75623"/>
  </sheetPr>
  <dimension ref="A1:L52"/>
  <sheetViews>
    <sheetView zoomScaleNormal="100" workbookViewId="0">
      <pane ySplit="3" topLeftCell="A44" activePane="bottomLeft" state="frozen"/>
      <selection pane="bottomLeft" activeCell="H48" sqref="H48"/>
    </sheetView>
  </sheetViews>
  <sheetFormatPr defaultColWidth="8.6328125" defaultRowHeight="14.5" x14ac:dyDescent="0.35"/>
  <cols>
    <col min="1" max="1" width="6" customWidth="1"/>
    <col min="2" max="2" width="36" customWidth="1"/>
    <col min="3" max="3" width="6" customWidth="1"/>
    <col min="4" max="4" width="10" customWidth="1"/>
    <col min="5" max="5" width="20" customWidth="1"/>
    <col min="6" max="6" width="18" customWidth="1"/>
    <col min="7" max="7" width="9" customWidth="1"/>
    <col min="8" max="8" width="14" customWidth="1"/>
    <col min="9" max="10" width="10" customWidth="1"/>
  </cols>
  <sheetData>
    <row r="1" spans="1:10" ht="19.5" customHeight="1" x14ac:dyDescent="0.35">
      <c r="A1" s="140" t="s">
        <v>763</v>
      </c>
      <c r="B1" s="138"/>
      <c r="C1" s="138"/>
      <c r="D1" s="138"/>
      <c r="E1" s="138"/>
      <c r="F1" s="138"/>
      <c r="G1" s="138"/>
      <c r="H1" s="138"/>
      <c r="I1" s="138"/>
      <c r="J1" s="138"/>
    </row>
    <row r="2" spans="1:10" ht="13.5" customHeight="1" x14ac:dyDescent="0.35">
      <c r="A2" s="137" t="s">
        <v>764</v>
      </c>
      <c r="B2" s="138"/>
      <c r="C2" s="138"/>
      <c r="D2" s="138"/>
      <c r="E2" s="138"/>
      <c r="F2" s="138"/>
      <c r="G2" s="138"/>
      <c r="H2" s="138"/>
      <c r="I2" s="138"/>
      <c r="J2" s="138"/>
    </row>
    <row r="3" spans="1:10" ht="24" customHeight="1" x14ac:dyDescent="0.35">
      <c r="A3" s="2" t="s">
        <v>765</v>
      </c>
      <c r="B3" s="2" t="s">
        <v>766</v>
      </c>
      <c r="C3" s="2" t="s">
        <v>20</v>
      </c>
      <c r="D3" s="2" t="s">
        <v>21</v>
      </c>
      <c r="E3" s="2" t="s">
        <v>22</v>
      </c>
      <c r="F3" s="2" t="s">
        <v>23</v>
      </c>
      <c r="G3" s="2" t="s">
        <v>33</v>
      </c>
      <c r="H3" s="2" t="s">
        <v>767</v>
      </c>
      <c r="I3" s="2" t="s">
        <v>768</v>
      </c>
      <c r="J3" s="2" t="s">
        <v>769</v>
      </c>
    </row>
    <row r="4" spans="1:10" ht="31.5" customHeight="1" x14ac:dyDescent="0.35">
      <c r="A4" s="50" t="s">
        <v>39</v>
      </c>
      <c r="B4" s="30" t="s">
        <v>40</v>
      </c>
      <c r="C4" s="31" t="s">
        <v>41</v>
      </c>
      <c r="D4" s="31" t="s">
        <v>42</v>
      </c>
      <c r="E4" s="51" t="s">
        <v>770</v>
      </c>
      <c r="F4" s="52" t="s">
        <v>44</v>
      </c>
      <c r="G4" s="71" t="s">
        <v>50</v>
      </c>
      <c r="H4" s="72" t="s">
        <v>771</v>
      </c>
      <c r="I4" s="6">
        <v>7</v>
      </c>
      <c r="J4" s="72" t="s">
        <v>50</v>
      </c>
    </row>
    <row r="5" spans="1:10" ht="31.5" customHeight="1" x14ac:dyDescent="0.35">
      <c r="A5" s="11" t="s">
        <v>69</v>
      </c>
      <c r="B5" s="12" t="s">
        <v>772</v>
      </c>
      <c r="C5" s="13" t="s">
        <v>71</v>
      </c>
      <c r="D5" s="13" t="s">
        <v>72</v>
      </c>
      <c r="E5" s="73" t="s">
        <v>73</v>
      </c>
      <c r="F5" s="74" t="s">
        <v>44</v>
      </c>
      <c r="G5" s="75" t="s">
        <v>50</v>
      </c>
      <c r="H5" s="75" t="s">
        <v>771</v>
      </c>
      <c r="I5" s="13">
        <v>6</v>
      </c>
      <c r="J5" s="75" t="s">
        <v>50</v>
      </c>
    </row>
    <row r="6" spans="1:10" ht="31.5" customHeight="1" x14ac:dyDescent="0.35">
      <c r="A6" s="4" t="s">
        <v>92</v>
      </c>
      <c r="B6" s="5" t="s">
        <v>773</v>
      </c>
      <c r="C6" s="6" t="s">
        <v>94</v>
      </c>
      <c r="D6" s="6" t="s">
        <v>95</v>
      </c>
      <c r="E6" s="59" t="s">
        <v>96</v>
      </c>
      <c r="F6" s="60" t="s">
        <v>44</v>
      </c>
      <c r="G6" s="72" t="s">
        <v>50</v>
      </c>
      <c r="H6" s="72" t="s">
        <v>771</v>
      </c>
      <c r="I6" s="6">
        <v>5</v>
      </c>
      <c r="J6" s="72" t="s">
        <v>50</v>
      </c>
    </row>
    <row r="7" spans="1:10" ht="31.5" customHeight="1" x14ac:dyDescent="0.35">
      <c r="A7" s="11" t="s">
        <v>115</v>
      </c>
      <c r="B7" s="12" t="s">
        <v>774</v>
      </c>
      <c r="C7" s="13" t="s">
        <v>94</v>
      </c>
      <c r="D7" s="13" t="s">
        <v>117</v>
      </c>
      <c r="E7" s="73" t="s">
        <v>118</v>
      </c>
      <c r="F7" s="74" t="s">
        <v>44</v>
      </c>
      <c r="G7" s="75" t="s">
        <v>77</v>
      </c>
      <c r="H7" s="75" t="s">
        <v>771</v>
      </c>
      <c r="I7" s="13">
        <v>0</v>
      </c>
      <c r="J7" s="75" t="s">
        <v>50</v>
      </c>
    </row>
    <row r="8" spans="1:10" ht="31.5" customHeight="1" x14ac:dyDescent="0.35">
      <c r="A8" s="50" t="s">
        <v>136</v>
      </c>
      <c r="B8" s="30" t="s">
        <v>776</v>
      </c>
      <c r="C8" s="31" t="s">
        <v>124</v>
      </c>
      <c r="D8" s="31" t="s">
        <v>95</v>
      </c>
      <c r="E8" s="51" t="s">
        <v>125</v>
      </c>
      <c r="F8" s="52" t="s">
        <v>44</v>
      </c>
      <c r="G8" s="71" t="s">
        <v>50</v>
      </c>
      <c r="H8" s="72" t="s">
        <v>771</v>
      </c>
      <c r="I8" s="6">
        <v>6</v>
      </c>
      <c r="J8" s="72" t="s">
        <v>50</v>
      </c>
    </row>
    <row r="9" spans="1:10" ht="31.5" customHeight="1" x14ac:dyDescent="0.35">
      <c r="A9" s="11" t="s">
        <v>777</v>
      </c>
      <c r="B9" s="12" t="s">
        <v>778</v>
      </c>
      <c r="C9" s="13" t="s">
        <v>94</v>
      </c>
      <c r="D9" s="13" t="s">
        <v>117</v>
      </c>
      <c r="E9" s="73" t="s">
        <v>118</v>
      </c>
      <c r="F9" s="74" t="s">
        <v>44</v>
      </c>
      <c r="G9" s="75" t="s">
        <v>77</v>
      </c>
      <c r="H9" s="72" t="s">
        <v>771</v>
      </c>
      <c r="I9" s="13"/>
      <c r="J9" s="75" t="s">
        <v>77</v>
      </c>
    </row>
    <row r="10" spans="1:10" ht="31.5" customHeight="1" x14ac:dyDescent="0.35">
      <c r="A10" s="50" t="s">
        <v>779</v>
      </c>
      <c r="B10" s="30" t="s">
        <v>780</v>
      </c>
      <c r="C10" s="31" t="s">
        <v>236</v>
      </c>
      <c r="D10" s="31" t="s">
        <v>117</v>
      </c>
      <c r="E10" s="51" t="s">
        <v>118</v>
      </c>
      <c r="F10" s="52" t="s">
        <v>44</v>
      </c>
      <c r="G10" s="71" t="s">
        <v>50</v>
      </c>
      <c r="H10" s="72" t="s">
        <v>771</v>
      </c>
      <c r="I10" s="6"/>
      <c r="J10" s="72" t="s">
        <v>77</v>
      </c>
    </row>
    <row r="11" spans="1:10" ht="31.5" customHeight="1" x14ac:dyDescent="0.35">
      <c r="A11" s="50" t="s">
        <v>277</v>
      </c>
      <c r="B11" s="30" t="s">
        <v>278</v>
      </c>
      <c r="C11" s="31" t="s">
        <v>236</v>
      </c>
      <c r="D11" s="31" t="s">
        <v>279</v>
      </c>
      <c r="E11" s="51" t="s">
        <v>781</v>
      </c>
      <c r="F11" s="52" t="s">
        <v>44</v>
      </c>
      <c r="G11" s="71" t="s">
        <v>50</v>
      </c>
      <c r="H11" s="75" t="s">
        <v>782</v>
      </c>
      <c r="I11" s="13">
        <v>7</v>
      </c>
      <c r="J11" s="75" t="s">
        <v>50</v>
      </c>
    </row>
    <row r="12" spans="1:10" ht="31.5" customHeight="1" x14ac:dyDescent="0.35">
      <c r="A12" s="4" t="s">
        <v>783</v>
      </c>
      <c r="B12" s="5" t="s">
        <v>294</v>
      </c>
      <c r="C12" s="6" t="s">
        <v>71</v>
      </c>
      <c r="D12" s="6" t="s">
        <v>295</v>
      </c>
      <c r="E12" s="59" t="s">
        <v>118</v>
      </c>
      <c r="F12" s="60" t="s">
        <v>44</v>
      </c>
      <c r="G12" s="72" t="s">
        <v>77</v>
      </c>
      <c r="H12" s="72" t="s">
        <v>771</v>
      </c>
      <c r="I12" s="6">
        <v>0</v>
      </c>
      <c r="J12" s="72" t="s">
        <v>50</v>
      </c>
    </row>
    <row r="13" spans="1:10" ht="31.5" customHeight="1" x14ac:dyDescent="0.35">
      <c r="A13" s="50" t="s">
        <v>784</v>
      </c>
      <c r="B13" s="30" t="s">
        <v>785</v>
      </c>
      <c r="C13" s="31" t="s">
        <v>71</v>
      </c>
      <c r="D13" s="31" t="s">
        <v>202</v>
      </c>
      <c r="E13" s="51" t="s">
        <v>237</v>
      </c>
      <c r="F13" s="52" t="s">
        <v>786</v>
      </c>
      <c r="G13" s="71" t="s">
        <v>50</v>
      </c>
      <c r="H13" s="75" t="s">
        <v>771</v>
      </c>
      <c r="I13" s="13">
        <v>9</v>
      </c>
      <c r="J13" s="75" t="s">
        <v>50</v>
      </c>
    </row>
    <row r="14" spans="1:10" ht="31.5" customHeight="1" x14ac:dyDescent="0.35">
      <c r="A14" s="4" t="s">
        <v>787</v>
      </c>
      <c r="B14" s="5" t="s">
        <v>788</v>
      </c>
      <c r="C14" s="6" t="s">
        <v>236</v>
      </c>
      <c r="D14" s="6" t="s">
        <v>202</v>
      </c>
      <c r="E14" s="59" t="s">
        <v>118</v>
      </c>
      <c r="F14" s="60" t="s">
        <v>44</v>
      </c>
      <c r="G14" s="72" t="s">
        <v>50</v>
      </c>
      <c r="H14" s="72" t="s">
        <v>771</v>
      </c>
      <c r="I14" s="6">
        <v>6</v>
      </c>
      <c r="J14" s="72" t="s">
        <v>50</v>
      </c>
    </row>
    <row r="15" spans="1:10" ht="31.5" customHeight="1" x14ac:dyDescent="0.35">
      <c r="A15" s="11" t="s">
        <v>789</v>
      </c>
      <c r="B15" s="12" t="s">
        <v>790</v>
      </c>
      <c r="C15" s="13" t="s">
        <v>94</v>
      </c>
      <c r="D15" s="13" t="s">
        <v>202</v>
      </c>
      <c r="E15" s="73" t="s">
        <v>118</v>
      </c>
      <c r="F15" s="74" t="s">
        <v>44</v>
      </c>
      <c r="G15" s="75" t="s">
        <v>77</v>
      </c>
      <c r="H15" s="75" t="s">
        <v>771</v>
      </c>
      <c r="I15" s="13"/>
      <c r="J15" s="75" t="s">
        <v>77</v>
      </c>
    </row>
    <row r="16" spans="1:10" ht="31.5" customHeight="1" x14ac:dyDescent="0.35">
      <c r="A16" s="4" t="s">
        <v>791</v>
      </c>
      <c r="B16" s="5" t="s">
        <v>792</v>
      </c>
      <c r="C16" s="6" t="s">
        <v>236</v>
      </c>
      <c r="D16" s="6" t="s">
        <v>279</v>
      </c>
      <c r="E16" s="59" t="s">
        <v>793</v>
      </c>
      <c r="F16" s="60" t="s">
        <v>411</v>
      </c>
      <c r="G16" s="72" t="s">
        <v>77</v>
      </c>
      <c r="H16" s="72" t="s">
        <v>771</v>
      </c>
      <c r="I16" s="6"/>
      <c r="J16" s="72" t="s">
        <v>77</v>
      </c>
    </row>
    <row r="17" spans="1:12" ht="31.5" customHeight="1" x14ac:dyDescent="0.35">
      <c r="A17" s="50" t="s">
        <v>794</v>
      </c>
      <c r="B17" s="30" t="s">
        <v>795</v>
      </c>
      <c r="C17" s="31" t="s">
        <v>236</v>
      </c>
      <c r="D17" s="31" t="s">
        <v>117</v>
      </c>
      <c r="E17" s="51" t="s">
        <v>237</v>
      </c>
      <c r="F17" s="52" t="s">
        <v>44</v>
      </c>
      <c r="G17" s="71" t="s">
        <v>50</v>
      </c>
      <c r="H17" s="75" t="s">
        <v>771</v>
      </c>
      <c r="I17" s="13"/>
      <c r="J17" s="75" t="s">
        <v>50</v>
      </c>
    </row>
    <row r="18" spans="1:12" ht="31.5" customHeight="1" x14ac:dyDescent="0.35">
      <c r="A18" s="4" t="s">
        <v>796</v>
      </c>
      <c r="B18" s="5" t="s">
        <v>797</v>
      </c>
      <c r="C18" s="6" t="s">
        <v>41</v>
      </c>
      <c r="D18" s="6" t="s">
        <v>295</v>
      </c>
      <c r="E18" s="59" t="s">
        <v>410</v>
      </c>
      <c r="F18" s="60" t="s">
        <v>411</v>
      </c>
      <c r="G18" s="72" t="s">
        <v>77</v>
      </c>
      <c r="H18" s="72" t="s">
        <v>771</v>
      </c>
      <c r="I18" s="6"/>
      <c r="J18" s="72" t="s">
        <v>77</v>
      </c>
    </row>
    <row r="19" spans="1:12" ht="31.5" customHeight="1" x14ac:dyDescent="0.35">
      <c r="A19" s="11" t="s">
        <v>798</v>
      </c>
      <c r="B19" s="12" t="s">
        <v>799</v>
      </c>
      <c r="C19" s="13" t="s">
        <v>236</v>
      </c>
      <c r="D19" s="13" t="s">
        <v>295</v>
      </c>
      <c r="E19" s="73" t="s">
        <v>410</v>
      </c>
      <c r="F19" s="74" t="s">
        <v>411</v>
      </c>
      <c r="G19" s="75" t="s">
        <v>77</v>
      </c>
      <c r="H19" s="75" t="s">
        <v>771</v>
      </c>
      <c r="I19" s="13"/>
      <c r="J19" s="75" t="s">
        <v>77</v>
      </c>
    </row>
    <row r="20" spans="1:12" ht="31.5" customHeight="1" x14ac:dyDescent="0.35">
      <c r="A20" s="50" t="s">
        <v>800</v>
      </c>
      <c r="B20" s="30" t="s">
        <v>801</v>
      </c>
      <c r="C20" s="31" t="s">
        <v>305</v>
      </c>
      <c r="D20" s="31" t="s">
        <v>117</v>
      </c>
      <c r="E20" s="51" t="s">
        <v>379</v>
      </c>
      <c r="F20" s="52" t="s">
        <v>44</v>
      </c>
      <c r="G20" s="71" t="s">
        <v>50</v>
      </c>
      <c r="H20" s="72" t="s">
        <v>771</v>
      </c>
      <c r="I20" s="6">
        <v>0</v>
      </c>
      <c r="J20" s="72" t="s">
        <v>77</v>
      </c>
    </row>
    <row r="21" spans="1:12" ht="31.5" customHeight="1" x14ac:dyDescent="0.35">
      <c r="A21" s="50" t="s">
        <v>802</v>
      </c>
      <c r="B21" s="30" t="s">
        <v>803</v>
      </c>
      <c r="C21" s="31" t="s">
        <v>305</v>
      </c>
      <c r="D21" s="31" t="s">
        <v>117</v>
      </c>
      <c r="E21" s="51" t="s">
        <v>118</v>
      </c>
      <c r="F21" s="52" t="s">
        <v>44</v>
      </c>
      <c r="G21" s="71" t="s">
        <v>50</v>
      </c>
      <c r="H21" s="75" t="s">
        <v>771</v>
      </c>
      <c r="I21" s="13"/>
      <c r="J21" s="75" t="s">
        <v>77</v>
      </c>
    </row>
    <row r="22" spans="1:12" ht="31.5" customHeight="1" x14ac:dyDescent="0.35">
      <c r="A22" s="4" t="s">
        <v>455</v>
      </c>
      <c r="B22" s="5" t="s">
        <v>456</v>
      </c>
      <c r="C22" s="6" t="s">
        <v>71</v>
      </c>
      <c r="D22" s="6" t="s">
        <v>117</v>
      </c>
      <c r="E22" s="59" t="s">
        <v>457</v>
      </c>
      <c r="F22" s="60" t="s">
        <v>44</v>
      </c>
      <c r="G22" s="72" t="s">
        <v>77</v>
      </c>
      <c r="H22" s="75" t="s">
        <v>771</v>
      </c>
      <c r="I22" s="6">
        <v>10</v>
      </c>
      <c r="J22" s="72" t="s">
        <v>50</v>
      </c>
      <c r="L22" s="18" t="s">
        <v>804</v>
      </c>
    </row>
    <row r="23" spans="1:12" ht="31.5" customHeight="1" x14ac:dyDescent="0.35">
      <c r="A23" s="11" t="s">
        <v>805</v>
      </c>
      <c r="B23" s="12" t="s">
        <v>806</v>
      </c>
      <c r="C23" s="13" t="s">
        <v>305</v>
      </c>
      <c r="D23" s="13" t="s">
        <v>202</v>
      </c>
      <c r="E23" s="73" t="s">
        <v>118</v>
      </c>
      <c r="F23" s="74" t="s">
        <v>44</v>
      </c>
      <c r="G23" s="75" t="s">
        <v>77</v>
      </c>
      <c r="H23" s="75" t="s">
        <v>771</v>
      </c>
      <c r="I23" s="13">
        <v>0</v>
      </c>
      <c r="J23" s="75" t="s">
        <v>77</v>
      </c>
    </row>
    <row r="24" spans="1:12" ht="31.5" customHeight="1" x14ac:dyDescent="0.35">
      <c r="A24" s="50" t="s">
        <v>408</v>
      </c>
      <c r="B24" s="30" t="s">
        <v>409</v>
      </c>
      <c r="C24" s="31" t="s">
        <v>305</v>
      </c>
      <c r="D24" s="31" t="s">
        <v>42</v>
      </c>
      <c r="E24" s="51" t="s">
        <v>410</v>
      </c>
      <c r="F24" s="52" t="s">
        <v>411</v>
      </c>
      <c r="G24" s="71" t="s">
        <v>50</v>
      </c>
      <c r="H24" s="75" t="s">
        <v>782</v>
      </c>
      <c r="I24" s="6">
        <v>11</v>
      </c>
      <c r="J24" s="72" t="s">
        <v>50</v>
      </c>
    </row>
    <row r="25" spans="1:12" ht="31.5" customHeight="1" x14ac:dyDescent="0.35">
      <c r="A25" s="11" t="s">
        <v>807</v>
      </c>
      <c r="B25" s="12" t="s">
        <v>808</v>
      </c>
      <c r="C25" s="13" t="s">
        <v>305</v>
      </c>
      <c r="D25" s="13" t="s">
        <v>144</v>
      </c>
      <c r="E25" s="73" t="s">
        <v>410</v>
      </c>
      <c r="F25" s="74" t="s">
        <v>411</v>
      </c>
      <c r="G25" s="75" t="s">
        <v>77</v>
      </c>
      <c r="H25" s="75" t="s">
        <v>771</v>
      </c>
      <c r="I25" s="13"/>
      <c r="J25" s="75" t="s">
        <v>77</v>
      </c>
    </row>
    <row r="26" spans="1:12" ht="31.5" customHeight="1" x14ac:dyDescent="0.35">
      <c r="A26" s="4" t="s">
        <v>809</v>
      </c>
      <c r="B26" s="5" t="s">
        <v>810</v>
      </c>
      <c r="C26" s="6" t="s">
        <v>305</v>
      </c>
      <c r="D26" s="6" t="s">
        <v>72</v>
      </c>
      <c r="E26" s="59" t="s">
        <v>145</v>
      </c>
      <c r="F26" s="60" t="s">
        <v>44</v>
      </c>
      <c r="G26" s="72" t="s">
        <v>77</v>
      </c>
      <c r="H26" s="72" t="s">
        <v>771</v>
      </c>
      <c r="I26" s="6"/>
      <c r="J26" s="72" t="s">
        <v>77</v>
      </c>
    </row>
    <row r="27" spans="1:12" ht="31.5" customHeight="1" x14ac:dyDescent="0.35">
      <c r="A27" s="11" t="s">
        <v>811</v>
      </c>
      <c r="B27" s="12" t="s">
        <v>812</v>
      </c>
      <c r="C27" s="13" t="s">
        <v>305</v>
      </c>
      <c r="D27" s="13" t="s">
        <v>72</v>
      </c>
      <c r="E27" s="73" t="s">
        <v>410</v>
      </c>
      <c r="F27" s="74" t="s">
        <v>411</v>
      </c>
      <c r="G27" s="75" t="s">
        <v>77</v>
      </c>
      <c r="H27" s="75" t="s">
        <v>771</v>
      </c>
      <c r="I27" s="13"/>
      <c r="J27" s="75" t="s">
        <v>77</v>
      </c>
    </row>
    <row r="28" spans="1:12" ht="31.5" customHeight="1" x14ac:dyDescent="0.35">
      <c r="A28" s="50" t="s">
        <v>813</v>
      </c>
      <c r="B28" s="30" t="s">
        <v>814</v>
      </c>
      <c r="C28" s="31" t="s">
        <v>305</v>
      </c>
      <c r="D28" s="31" t="s">
        <v>144</v>
      </c>
      <c r="E28" s="51" t="s">
        <v>410</v>
      </c>
      <c r="F28" s="52" t="s">
        <v>411</v>
      </c>
      <c r="G28" s="71" t="s">
        <v>50</v>
      </c>
      <c r="H28" s="75" t="s">
        <v>782</v>
      </c>
      <c r="I28" s="6">
        <v>10</v>
      </c>
      <c r="J28" s="72" t="s">
        <v>50</v>
      </c>
    </row>
    <row r="29" spans="1:12" ht="31.5" customHeight="1" x14ac:dyDescent="0.35">
      <c r="A29" s="50" t="s">
        <v>815</v>
      </c>
      <c r="B29" s="30" t="s">
        <v>816</v>
      </c>
      <c r="C29" s="31" t="s">
        <v>236</v>
      </c>
      <c r="D29" s="31" t="s">
        <v>72</v>
      </c>
      <c r="E29" s="51" t="s">
        <v>145</v>
      </c>
      <c r="F29" s="52" t="s">
        <v>44</v>
      </c>
      <c r="G29" s="71" t="s">
        <v>50</v>
      </c>
      <c r="H29" s="76" t="s">
        <v>771</v>
      </c>
      <c r="I29" s="13">
        <v>9</v>
      </c>
      <c r="J29" s="75" t="s">
        <v>50</v>
      </c>
    </row>
    <row r="30" spans="1:12" ht="31.5" customHeight="1" x14ac:dyDescent="0.35">
      <c r="A30" s="4" t="s">
        <v>817</v>
      </c>
      <c r="B30" s="5" t="s">
        <v>818</v>
      </c>
      <c r="C30" s="6" t="s">
        <v>236</v>
      </c>
      <c r="D30" s="6" t="s">
        <v>144</v>
      </c>
      <c r="E30" s="59" t="s">
        <v>145</v>
      </c>
      <c r="F30" s="60" t="s">
        <v>44</v>
      </c>
      <c r="G30" s="72" t="s">
        <v>77</v>
      </c>
      <c r="H30" s="72" t="s">
        <v>771</v>
      </c>
      <c r="I30" s="6"/>
      <c r="J30" s="72" t="s">
        <v>77</v>
      </c>
    </row>
    <row r="31" spans="1:12" ht="31.5" customHeight="1" x14ac:dyDescent="0.35">
      <c r="A31" s="50" t="s">
        <v>819</v>
      </c>
      <c r="B31" s="30" t="s">
        <v>524</v>
      </c>
      <c r="C31" s="31" t="s">
        <v>236</v>
      </c>
      <c r="D31" s="31" t="s">
        <v>42</v>
      </c>
      <c r="E31" s="51" t="s">
        <v>525</v>
      </c>
      <c r="F31" s="52" t="s">
        <v>411</v>
      </c>
      <c r="G31" s="71" t="s">
        <v>50</v>
      </c>
      <c r="H31" s="76" t="s">
        <v>782</v>
      </c>
      <c r="I31" s="13">
        <v>8</v>
      </c>
      <c r="J31" s="75" t="s">
        <v>50</v>
      </c>
    </row>
    <row r="32" spans="1:12" ht="31.5" customHeight="1" x14ac:dyDescent="0.35">
      <c r="A32" s="4" t="s">
        <v>820</v>
      </c>
      <c r="B32" s="5" t="s">
        <v>821</v>
      </c>
      <c r="C32" s="6" t="s">
        <v>236</v>
      </c>
      <c r="D32" s="6" t="s">
        <v>144</v>
      </c>
      <c r="E32" s="59" t="s">
        <v>525</v>
      </c>
      <c r="F32" s="60" t="s">
        <v>411</v>
      </c>
      <c r="G32" s="72" t="s">
        <v>77</v>
      </c>
      <c r="H32" s="72" t="s">
        <v>771</v>
      </c>
      <c r="I32" s="6"/>
      <c r="J32" s="72" t="s">
        <v>77</v>
      </c>
    </row>
    <row r="33" spans="1:10" ht="31.5" customHeight="1" x14ac:dyDescent="0.35">
      <c r="A33" s="11" t="s">
        <v>822</v>
      </c>
      <c r="B33" s="12" t="s">
        <v>823</v>
      </c>
      <c r="C33" s="13" t="s">
        <v>236</v>
      </c>
      <c r="D33" s="13" t="s">
        <v>144</v>
      </c>
      <c r="E33" s="73" t="s">
        <v>410</v>
      </c>
      <c r="F33" s="74" t="s">
        <v>411</v>
      </c>
      <c r="G33" s="75" t="s">
        <v>77</v>
      </c>
      <c r="H33" s="72" t="s">
        <v>771</v>
      </c>
      <c r="I33" s="13"/>
      <c r="J33" s="75" t="s">
        <v>77</v>
      </c>
    </row>
    <row r="34" spans="1:10" ht="31.5" customHeight="1" x14ac:dyDescent="0.35">
      <c r="A34" s="4" t="s">
        <v>824</v>
      </c>
      <c r="B34" s="5" t="s">
        <v>825</v>
      </c>
      <c r="C34" s="6" t="s">
        <v>94</v>
      </c>
      <c r="D34" s="6" t="s">
        <v>144</v>
      </c>
      <c r="E34" s="59" t="s">
        <v>525</v>
      </c>
      <c r="F34" s="60" t="s">
        <v>411</v>
      </c>
      <c r="G34" s="72" t="s">
        <v>77</v>
      </c>
      <c r="H34" s="72" t="s">
        <v>771</v>
      </c>
      <c r="I34" s="6"/>
      <c r="J34" s="72" t="s">
        <v>77</v>
      </c>
    </row>
    <row r="35" spans="1:10" ht="31.5" customHeight="1" x14ac:dyDescent="0.35">
      <c r="A35" s="11" t="s">
        <v>826</v>
      </c>
      <c r="B35" s="12" t="s">
        <v>827</v>
      </c>
      <c r="C35" s="13" t="s">
        <v>94</v>
      </c>
      <c r="D35" s="13" t="s">
        <v>828</v>
      </c>
      <c r="E35" s="73" t="s">
        <v>829</v>
      </c>
      <c r="F35" s="74" t="s">
        <v>44</v>
      </c>
      <c r="G35" s="75" t="s">
        <v>77</v>
      </c>
      <c r="H35" s="72" t="s">
        <v>771</v>
      </c>
      <c r="I35" s="13"/>
      <c r="J35" s="75" t="s">
        <v>77</v>
      </c>
    </row>
    <row r="36" spans="1:10" ht="31.5" customHeight="1" x14ac:dyDescent="0.35">
      <c r="A36" s="4" t="s">
        <v>830</v>
      </c>
      <c r="B36" s="5" t="s">
        <v>831</v>
      </c>
      <c r="C36" s="6" t="s">
        <v>94</v>
      </c>
      <c r="D36" s="6" t="s">
        <v>144</v>
      </c>
      <c r="E36" s="59" t="s">
        <v>145</v>
      </c>
      <c r="F36" s="60" t="s">
        <v>44</v>
      </c>
      <c r="G36" s="72" t="s">
        <v>77</v>
      </c>
      <c r="H36" s="72" t="s">
        <v>771</v>
      </c>
      <c r="I36" s="6"/>
      <c r="J36" s="72" t="s">
        <v>77</v>
      </c>
    </row>
    <row r="37" spans="1:10" ht="31.5" customHeight="1" x14ac:dyDescent="0.35">
      <c r="A37" s="50" t="s">
        <v>832</v>
      </c>
      <c r="B37" s="30" t="s">
        <v>833</v>
      </c>
      <c r="C37" s="31" t="s">
        <v>94</v>
      </c>
      <c r="D37" s="31" t="s">
        <v>42</v>
      </c>
      <c r="E37" s="51" t="s">
        <v>145</v>
      </c>
      <c r="F37" s="52" t="s">
        <v>44</v>
      </c>
      <c r="G37" s="71" t="s">
        <v>50</v>
      </c>
      <c r="H37" s="75" t="s">
        <v>771</v>
      </c>
      <c r="I37" s="13">
        <v>6</v>
      </c>
      <c r="J37" s="75" t="s">
        <v>50</v>
      </c>
    </row>
    <row r="38" spans="1:10" ht="31.5" customHeight="1" x14ac:dyDescent="0.35">
      <c r="A38" s="4" t="s">
        <v>834</v>
      </c>
      <c r="B38" s="5" t="s">
        <v>835</v>
      </c>
      <c r="C38" s="6" t="s">
        <v>94</v>
      </c>
      <c r="D38" s="6" t="s">
        <v>42</v>
      </c>
      <c r="E38" s="59" t="s">
        <v>410</v>
      </c>
      <c r="F38" s="60" t="s">
        <v>411</v>
      </c>
      <c r="G38" s="72" t="s">
        <v>77</v>
      </c>
      <c r="H38" s="72" t="s">
        <v>771</v>
      </c>
      <c r="I38" s="6"/>
      <c r="J38" s="72" t="s">
        <v>77</v>
      </c>
    </row>
    <row r="39" spans="1:10" ht="31.5" customHeight="1" x14ac:dyDescent="0.35">
      <c r="A39" s="50" t="s">
        <v>836</v>
      </c>
      <c r="B39" s="30" t="s">
        <v>837</v>
      </c>
      <c r="C39" s="31" t="s">
        <v>71</v>
      </c>
      <c r="D39" s="31" t="s">
        <v>144</v>
      </c>
      <c r="E39" s="51" t="s">
        <v>145</v>
      </c>
      <c r="F39" s="52" t="s">
        <v>44</v>
      </c>
      <c r="G39" s="71" t="s">
        <v>50</v>
      </c>
      <c r="H39" s="75" t="s">
        <v>771</v>
      </c>
      <c r="I39" s="13">
        <v>4</v>
      </c>
      <c r="J39" s="75" t="s">
        <v>50</v>
      </c>
    </row>
    <row r="40" spans="1:10" ht="31.5" customHeight="1" x14ac:dyDescent="0.35">
      <c r="A40" s="4" t="s">
        <v>838</v>
      </c>
      <c r="B40" s="5" t="s">
        <v>839</v>
      </c>
      <c r="C40" s="6" t="s">
        <v>71</v>
      </c>
      <c r="D40" s="6" t="s">
        <v>840</v>
      </c>
      <c r="E40" s="59" t="s">
        <v>525</v>
      </c>
      <c r="F40" s="60" t="s">
        <v>411</v>
      </c>
      <c r="G40" s="72" t="s">
        <v>77</v>
      </c>
      <c r="H40" s="72" t="s">
        <v>771</v>
      </c>
      <c r="I40" s="6"/>
      <c r="J40" s="72" t="s">
        <v>77</v>
      </c>
    </row>
    <row r="41" spans="1:10" ht="31.5" customHeight="1" x14ac:dyDescent="0.35">
      <c r="A41" s="11" t="s">
        <v>841</v>
      </c>
      <c r="B41" s="12" t="s">
        <v>842</v>
      </c>
      <c r="C41" s="13" t="s">
        <v>41</v>
      </c>
      <c r="D41" s="13" t="s">
        <v>840</v>
      </c>
      <c r="E41" s="73" t="s">
        <v>410</v>
      </c>
      <c r="F41" s="74" t="s">
        <v>411</v>
      </c>
      <c r="G41" s="75" t="s">
        <v>77</v>
      </c>
      <c r="H41" s="72" t="s">
        <v>771</v>
      </c>
      <c r="I41" s="13"/>
      <c r="J41" s="75" t="s">
        <v>77</v>
      </c>
    </row>
    <row r="42" spans="1:10" ht="31.5" customHeight="1" x14ac:dyDescent="0.35">
      <c r="A42" s="4" t="s">
        <v>843</v>
      </c>
      <c r="B42" s="5" t="s">
        <v>844</v>
      </c>
      <c r="C42" s="6" t="s">
        <v>41</v>
      </c>
      <c r="D42" s="6" t="s">
        <v>42</v>
      </c>
      <c r="E42" s="59" t="s">
        <v>145</v>
      </c>
      <c r="F42" s="60" t="s">
        <v>44</v>
      </c>
      <c r="G42" s="72" t="s">
        <v>77</v>
      </c>
      <c r="H42" s="72" t="s">
        <v>771</v>
      </c>
      <c r="I42" s="6"/>
      <c r="J42" s="72" t="s">
        <v>77</v>
      </c>
    </row>
    <row r="43" spans="1:10" ht="31.5" customHeight="1" x14ac:dyDescent="0.35">
      <c r="A43" s="50" t="s">
        <v>845</v>
      </c>
      <c r="B43" s="30" t="s">
        <v>846</v>
      </c>
      <c r="C43" s="31" t="s">
        <v>143</v>
      </c>
      <c r="D43" s="31" t="s">
        <v>144</v>
      </c>
      <c r="E43" s="51" t="s">
        <v>145</v>
      </c>
      <c r="F43" s="52" t="s">
        <v>44</v>
      </c>
      <c r="G43" s="71" t="s">
        <v>50</v>
      </c>
      <c r="H43" s="75" t="s">
        <v>771</v>
      </c>
      <c r="I43" s="13">
        <v>5</v>
      </c>
      <c r="J43" s="75" t="s">
        <v>50</v>
      </c>
    </row>
    <row r="44" spans="1:10" ht="31.5" customHeight="1" x14ac:dyDescent="0.35">
      <c r="A44" s="4" t="s">
        <v>847</v>
      </c>
      <c r="B44" s="5" t="s">
        <v>848</v>
      </c>
      <c r="C44" s="6" t="s">
        <v>143</v>
      </c>
      <c r="D44" s="6" t="s">
        <v>144</v>
      </c>
      <c r="E44" s="59" t="s">
        <v>525</v>
      </c>
      <c r="F44" s="60" t="s">
        <v>411</v>
      </c>
      <c r="G44" s="72" t="s">
        <v>77</v>
      </c>
      <c r="H44" s="75" t="s">
        <v>771</v>
      </c>
      <c r="I44" s="6"/>
      <c r="J44" s="72" t="s">
        <v>77</v>
      </c>
    </row>
    <row r="45" spans="1:10" ht="31.5" customHeight="1" x14ac:dyDescent="0.35">
      <c r="A45" s="11" t="s">
        <v>849</v>
      </c>
      <c r="B45" s="12" t="s">
        <v>850</v>
      </c>
      <c r="C45" s="13" t="s">
        <v>143</v>
      </c>
      <c r="D45" s="13" t="s">
        <v>42</v>
      </c>
      <c r="E45" s="73" t="s">
        <v>145</v>
      </c>
      <c r="F45" s="74" t="s">
        <v>44</v>
      </c>
      <c r="G45" s="75" t="s">
        <v>77</v>
      </c>
      <c r="H45" s="75" t="s">
        <v>771</v>
      </c>
      <c r="I45" s="13"/>
      <c r="J45" s="75" t="s">
        <v>77</v>
      </c>
    </row>
    <row r="46" spans="1:10" ht="31.5" customHeight="1" x14ac:dyDescent="0.35">
      <c r="A46" s="50" t="s">
        <v>851</v>
      </c>
      <c r="B46" s="30" t="s">
        <v>852</v>
      </c>
      <c r="C46" s="31" t="s">
        <v>143</v>
      </c>
      <c r="D46" s="31" t="s">
        <v>840</v>
      </c>
      <c r="E46" s="51" t="s">
        <v>145</v>
      </c>
      <c r="F46" s="52" t="s">
        <v>44</v>
      </c>
      <c r="G46" s="71" t="s">
        <v>50</v>
      </c>
      <c r="H46" s="75" t="s">
        <v>771</v>
      </c>
      <c r="I46" s="6"/>
      <c r="J46" s="72" t="s">
        <v>77</v>
      </c>
    </row>
    <row r="47" spans="1:10" ht="31.5" customHeight="1" x14ac:dyDescent="0.35">
      <c r="A47" s="11" t="s">
        <v>853</v>
      </c>
      <c r="B47" s="12" t="s">
        <v>854</v>
      </c>
      <c r="C47" s="13" t="s">
        <v>236</v>
      </c>
      <c r="D47" s="13" t="s">
        <v>95</v>
      </c>
      <c r="E47" s="73" t="s">
        <v>96</v>
      </c>
      <c r="F47" s="74" t="s">
        <v>44</v>
      </c>
      <c r="G47" s="75" t="s">
        <v>77</v>
      </c>
      <c r="H47" s="75" t="s">
        <v>775</v>
      </c>
      <c r="I47" s="13"/>
      <c r="J47" s="75" t="s">
        <v>77</v>
      </c>
    </row>
    <row r="48" spans="1:10" ht="31.5" customHeight="1" x14ac:dyDescent="0.35">
      <c r="A48" s="4" t="s">
        <v>855</v>
      </c>
      <c r="B48" s="5" t="s">
        <v>856</v>
      </c>
      <c r="C48" s="6" t="s">
        <v>94</v>
      </c>
      <c r="D48" s="6" t="s">
        <v>117</v>
      </c>
      <c r="E48" s="59" t="s">
        <v>379</v>
      </c>
      <c r="F48" s="60" t="s">
        <v>44</v>
      </c>
      <c r="G48" s="72" t="s">
        <v>77</v>
      </c>
      <c r="H48" s="72" t="s">
        <v>775</v>
      </c>
      <c r="I48" s="6"/>
      <c r="J48" s="72" t="s">
        <v>77</v>
      </c>
    </row>
    <row r="49" spans="1:10" ht="31.5" customHeight="1" x14ac:dyDescent="0.35">
      <c r="A49" s="11" t="s">
        <v>857</v>
      </c>
      <c r="B49" s="12" t="s">
        <v>858</v>
      </c>
      <c r="C49" s="13" t="s">
        <v>305</v>
      </c>
      <c r="D49" s="13" t="s">
        <v>117</v>
      </c>
      <c r="E49" s="73" t="s">
        <v>859</v>
      </c>
      <c r="F49" s="74" t="s">
        <v>44</v>
      </c>
      <c r="G49" s="75" t="s">
        <v>77</v>
      </c>
      <c r="H49" s="75" t="s">
        <v>775</v>
      </c>
      <c r="I49" s="13"/>
      <c r="J49" s="75" t="s">
        <v>77</v>
      </c>
    </row>
    <row r="50" spans="1:10" ht="31.5" customHeight="1" x14ac:dyDescent="0.35">
      <c r="A50" s="4" t="s">
        <v>860</v>
      </c>
      <c r="B50" s="5" t="s">
        <v>861</v>
      </c>
      <c r="C50" s="6" t="s">
        <v>131</v>
      </c>
      <c r="D50" s="6" t="s">
        <v>95</v>
      </c>
      <c r="E50" s="59" t="s">
        <v>862</v>
      </c>
      <c r="F50" s="60" t="s">
        <v>44</v>
      </c>
      <c r="G50" s="72" t="s">
        <v>77</v>
      </c>
      <c r="H50" s="72" t="s">
        <v>775</v>
      </c>
      <c r="I50" s="6"/>
      <c r="J50" s="72" t="s">
        <v>77</v>
      </c>
    </row>
    <row r="52" spans="1:10" ht="14.25" customHeight="1" x14ac:dyDescent="0.35">
      <c r="A52" s="141" t="s">
        <v>863</v>
      </c>
      <c r="B52" s="142"/>
      <c r="C52" s="142"/>
      <c r="D52" s="142"/>
      <c r="E52" s="142"/>
      <c r="F52" s="142"/>
      <c r="G52" s="143"/>
      <c r="H52" s="77">
        <f>COUNTIF(H4:H51,"Pass 1 complete")</f>
        <v>39</v>
      </c>
      <c r="I52" s="77">
        <f>SUM(I4:I51)</f>
        <v>109</v>
      </c>
      <c r="J52" s="77">
        <f>COUNTIF(J4:J51,"Yes")</f>
        <v>18</v>
      </c>
    </row>
  </sheetData>
  <mergeCells count="3">
    <mergeCell ref="A1:J1"/>
    <mergeCell ref="A52:G52"/>
    <mergeCell ref="A2:J2"/>
  </mergeCells>
  <dataValidations count="3">
    <dataValidation type="list" allowBlank="1" sqref="H4:H60" xr:uid="{00000000-0002-0000-0100-000000000000}">
      <formula1>"Not started,In progress,Pass 1 complete,Pass 2 complete,Saturated — no new codes"</formula1>
      <formula2>0</formula2>
    </dataValidation>
    <dataValidation type="list" allowBlank="1" sqref="J4:J60" xr:uid="{00000000-0002-0000-0100-000001000000}">
      <formula1>"Yes,No,N/A"</formula1>
      <formula2>0</formula2>
    </dataValidation>
    <dataValidation type="list" allowBlank="1" sqref="G4:G60" xr:uid="{00000000-0002-0000-0100-000002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I30"/>
  <sheetViews>
    <sheetView zoomScaleNormal="100" workbookViewId="0">
      <pane ySplit="3" topLeftCell="A23" activePane="bottomLeft" state="frozen"/>
      <selection pane="bottomLeft" activeCell="F15" sqref="F15"/>
    </sheetView>
  </sheetViews>
  <sheetFormatPr defaultColWidth="8.6328125" defaultRowHeight="14.5" x14ac:dyDescent="0.35"/>
  <cols>
    <col min="1" max="1" width="6" customWidth="1"/>
    <col min="2" max="2" width="10" customWidth="1"/>
    <col min="3" max="3" width="12" customWidth="1"/>
    <col min="4" max="4" width="42" style="78" customWidth="1"/>
    <col min="5" max="6" width="32" customWidth="1"/>
    <col min="7" max="7" width="36" customWidth="1"/>
    <col min="8" max="8" width="17.26953125" style="79" customWidth="1"/>
    <col min="9" max="9" width="17.26953125" customWidth="1"/>
  </cols>
  <sheetData>
    <row r="1" spans="1:9" ht="19.5" customHeight="1" x14ac:dyDescent="0.35">
      <c r="A1" s="146" t="s">
        <v>864</v>
      </c>
      <c r="B1" s="138"/>
      <c r="C1" s="138"/>
      <c r="D1" s="145"/>
      <c r="E1" s="138"/>
      <c r="F1" s="138"/>
      <c r="G1" s="138"/>
    </row>
    <row r="2" spans="1:9" ht="13.5" customHeight="1" x14ac:dyDescent="0.35">
      <c r="A2" s="144" t="s">
        <v>865</v>
      </c>
      <c r="B2" s="138"/>
      <c r="C2" s="138"/>
      <c r="D2" s="145"/>
      <c r="E2" s="138"/>
      <c r="F2" s="138"/>
      <c r="G2" s="138"/>
    </row>
    <row r="3" spans="1:9" ht="30" customHeight="1" x14ac:dyDescent="0.35">
      <c r="A3" s="80" t="s">
        <v>866</v>
      </c>
      <c r="B3" s="80" t="s">
        <v>0</v>
      </c>
      <c r="C3" s="80" t="s">
        <v>867</v>
      </c>
      <c r="D3" s="81" t="s">
        <v>868</v>
      </c>
      <c r="E3" s="80" t="s">
        <v>869</v>
      </c>
      <c r="F3" s="80" t="s">
        <v>870</v>
      </c>
      <c r="G3" s="80" t="s">
        <v>871</v>
      </c>
      <c r="H3" s="82" t="s">
        <v>872</v>
      </c>
      <c r="I3" s="82" t="s">
        <v>873</v>
      </c>
    </row>
    <row r="4" spans="1:9" ht="60" customHeight="1" x14ac:dyDescent="0.35">
      <c r="A4" s="3">
        <v>1</v>
      </c>
      <c r="B4" s="83">
        <v>46122</v>
      </c>
      <c r="C4" s="5"/>
      <c r="D4" s="5" t="s">
        <v>874</v>
      </c>
      <c r="E4" s="5" t="s">
        <v>874</v>
      </c>
      <c r="F4" s="5" t="s">
        <v>874</v>
      </c>
      <c r="G4" s="5" t="s">
        <v>874</v>
      </c>
    </row>
    <row r="5" spans="1:9" ht="60" customHeight="1" x14ac:dyDescent="0.35">
      <c r="A5" s="1">
        <v>2</v>
      </c>
      <c r="B5" s="83">
        <v>46122</v>
      </c>
      <c r="C5" s="12">
        <v>38</v>
      </c>
      <c r="D5" s="12" t="s">
        <v>875</v>
      </c>
      <c r="E5" s="12" t="s">
        <v>875</v>
      </c>
      <c r="F5" s="12" t="s">
        <v>875</v>
      </c>
      <c r="G5" s="12" t="s">
        <v>875</v>
      </c>
    </row>
    <row r="6" spans="1:9" ht="60" customHeight="1" x14ac:dyDescent="0.35">
      <c r="A6" s="3">
        <v>3</v>
      </c>
      <c r="B6" s="83">
        <v>46122</v>
      </c>
      <c r="C6" s="5"/>
      <c r="D6" s="5" t="s">
        <v>876</v>
      </c>
      <c r="E6" s="5" t="s">
        <v>876</v>
      </c>
      <c r="F6" s="5" t="s">
        <v>876</v>
      </c>
      <c r="G6" s="5" t="s">
        <v>876</v>
      </c>
    </row>
    <row r="7" spans="1:9" ht="60" customHeight="1" x14ac:dyDescent="0.35">
      <c r="A7" s="1">
        <v>4</v>
      </c>
      <c r="B7" s="83">
        <v>46122</v>
      </c>
      <c r="C7" s="12"/>
      <c r="D7" s="12" t="s">
        <v>877</v>
      </c>
      <c r="E7" s="12" t="s">
        <v>877</v>
      </c>
      <c r="F7" s="12" t="s">
        <v>877</v>
      </c>
      <c r="G7" s="12" t="s">
        <v>877</v>
      </c>
    </row>
    <row r="8" spans="1:9" ht="60" customHeight="1" x14ac:dyDescent="0.35">
      <c r="A8" s="3">
        <v>5</v>
      </c>
      <c r="B8" s="83">
        <v>46125</v>
      </c>
      <c r="C8" s="5">
        <v>16</v>
      </c>
      <c r="D8" s="5" t="s">
        <v>878</v>
      </c>
      <c r="E8" s="5" t="s">
        <v>878</v>
      </c>
      <c r="F8" s="5" t="s">
        <v>878</v>
      </c>
      <c r="G8" s="5" t="s">
        <v>878</v>
      </c>
    </row>
    <row r="9" spans="1:9" ht="60" customHeight="1" x14ac:dyDescent="0.35">
      <c r="A9" s="1">
        <v>6</v>
      </c>
      <c r="B9" s="84">
        <v>46125</v>
      </c>
      <c r="C9" s="12"/>
      <c r="D9" s="12" t="s">
        <v>6</v>
      </c>
      <c r="E9" s="12" t="s">
        <v>6</v>
      </c>
      <c r="F9" s="12" t="s">
        <v>6</v>
      </c>
      <c r="G9" s="12" t="s">
        <v>6</v>
      </c>
    </row>
    <row r="10" spans="1:9" ht="60" customHeight="1" x14ac:dyDescent="0.35">
      <c r="A10" s="3">
        <v>7</v>
      </c>
      <c r="B10" s="5" t="s">
        <v>879</v>
      </c>
      <c r="C10" s="5" t="s">
        <v>836</v>
      </c>
      <c r="D10" s="5" t="s">
        <v>880</v>
      </c>
      <c r="E10" s="5" t="s">
        <v>881</v>
      </c>
      <c r="F10" s="5" t="s">
        <v>882</v>
      </c>
      <c r="G10" s="5" t="s">
        <v>883</v>
      </c>
    </row>
    <row r="11" spans="1:9" ht="60" customHeight="1" x14ac:dyDescent="0.35">
      <c r="A11" s="1">
        <v>8</v>
      </c>
      <c r="B11" s="12" t="s">
        <v>879</v>
      </c>
      <c r="C11" s="12" t="s">
        <v>845</v>
      </c>
      <c r="D11" s="12" t="s">
        <v>884</v>
      </c>
      <c r="E11" s="12" t="s">
        <v>885</v>
      </c>
      <c r="F11" s="12" t="s">
        <v>886</v>
      </c>
      <c r="G11" s="12" t="s">
        <v>887</v>
      </c>
    </row>
    <row r="12" spans="1:9" ht="60" customHeight="1" x14ac:dyDescent="0.35">
      <c r="A12" s="1">
        <v>9</v>
      </c>
      <c r="B12" s="84">
        <v>46127</v>
      </c>
      <c r="C12" s="12">
        <v>34</v>
      </c>
      <c r="D12" s="12" t="s">
        <v>888</v>
      </c>
      <c r="E12" s="12" t="s">
        <v>888</v>
      </c>
      <c r="F12" s="12" t="s">
        <v>888</v>
      </c>
      <c r="G12" s="12" t="s">
        <v>888</v>
      </c>
    </row>
    <row r="13" spans="1:9" ht="60" customHeight="1" x14ac:dyDescent="0.35">
      <c r="A13" s="1">
        <v>10</v>
      </c>
      <c r="B13" s="84">
        <v>46127</v>
      </c>
      <c r="C13" s="12">
        <v>6</v>
      </c>
      <c r="D13" s="12" t="s">
        <v>889</v>
      </c>
      <c r="E13" s="12" t="s">
        <v>890</v>
      </c>
      <c r="F13" s="12" t="s">
        <v>891</v>
      </c>
      <c r="G13" s="12" t="s">
        <v>892</v>
      </c>
    </row>
    <row r="14" spans="1:9" ht="60" customHeight="1" x14ac:dyDescent="0.35">
      <c r="A14" s="3">
        <v>11</v>
      </c>
      <c r="B14" s="84">
        <v>46127</v>
      </c>
      <c r="C14" s="5">
        <v>10</v>
      </c>
      <c r="D14" s="5" t="s">
        <v>893</v>
      </c>
      <c r="E14" s="5" t="s">
        <v>894</v>
      </c>
      <c r="F14" s="5" t="s">
        <v>895</v>
      </c>
      <c r="G14" s="5" t="s">
        <v>896</v>
      </c>
      <c r="H14" s="19" t="s">
        <v>897</v>
      </c>
    </row>
    <row r="15" spans="1:9" ht="60" customHeight="1" x14ac:dyDescent="0.35">
      <c r="A15" s="1">
        <v>12</v>
      </c>
      <c r="B15" s="84">
        <v>46127</v>
      </c>
      <c r="C15" s="12">
        <v>4</v>
      </c>
      <c r="D15" s="12"/>
      <c r="E15" s="12"/>
      <c r="F15" s="12"/>
      <c r="G15" s="12"/>
    </row>
    <row r="16" spans="1:9" ht="60" customHeight="1" x14ac:dyDescent="0.35">
      <c r="A16" s="3">
        <v>13</v>
      </c>
      <c r="B16" s="84">
        <v>46127</v>
      </c>
      <c r="C16" s="5">
        <v>1</v>
      </c>
      <c r="D16" s="5" t="s">
        <v>898</v>
      </c>
      <c r="E16" s="5"/>
      <c r="F16" s="5"/>
      <c r="G16" s="5"/>
    </row>
    <row r="17" spans="1:9" ht="60" customHeight="1" x14ac:dyDescent="0.35">
      <c r="A17" s="1">
        <v>14</v>
      </c>
      <c r="B17" s="84">
        <v>46127</v>
      </c>
      <c r="C17" s="12" t="s">
        <v>92</v>
      </c>
      <c r="D17" s="12" t="s">
        <v>899</v>
      </c>
      <c r="E17" s="12"/>
      <c r="F17" s="12"/>
      <c r="G17" s="12"/>
    </row>
    <row r="18" spans="1:9" ht="60" customHeight="1" x14ac:dyDescent="0.35">
      <c r="A18" s="3">
        <v>15</v>
      </c>
      <c r="B18" s="83">
        <v>46128</v>
      </c>
      <c r="C18" s="5">
        <v>7</v>
      </c>
      <c r="D18" s="5" t="s">
        <v>900</v>
      </c>
      <c r="E18" s="5"/>
      <c r="F18" s="5"/>
      <c r="G18" s="5"/>
    </row>
    <row r="19" spans="1:9" ht="60" customHeight="1" x14ac:dyDescent="0.35">
      <c r="A19" s="1">
        <v>16</v>
      </c>
      <c r="B19" s="83">
        <v>46128</v>
      </c>
      <c r="C19" s="12">
        <v>20</v>
      </c>
      <c r="D19" s="12" t="s">
        <v>901</v>
      </c>
      <c r="E19" s="12"/>
      <c r="F19" s="12"/>
      <c r="G19" s="12"/>
    </row>
    <row r="20" spans="1:9" ht="60" customHeight="1" x14ac:dyDescent="0.35">
      <c r="A20" s="3">
        <v>17</v>
      </c>
      <c r="B20" s="83">
        <v>46128</v>
      </c>
      <c r="C20" s="5">
        <v>13</v>
      </c>
      <c r="D20" s="5" t="s">
        <v>902</v>
      </c>
      <c r="E20" s="5"/>
      <c r="F20" s="5"/>
      <c r="G20" s="5"/>
    </row>
    <row r="21" spans="1:9" ht="60" customHeight="1" x14ac:dyDescent="0.35">
      <c r="A21" s="1">
        <v>18</v>
      </c>
      <c r="B21" s="84">
        <v>46129</v>
      </c>
      <c r="C21" s="12">
        <v>15</v>
      </c>
      <c r="D21" s="12" t="s">
        <v>10</v>
      </c>
      <c r="E21" s="12"/>
      <c r="F21" s="12"/>
      <c r="G21" s="12"/>
      <c r="H21" s="85" t="s">
        <v>903</v>
      </c>
    </row>
    <row r="22" spans="1:9" ht="60" customHeight="1" x14ac:dyDescent="0.35">
      <c r="A22" s="3">
        <v>19</v>
      </c>
      <c r="B22" s="84">
        <v>46129</v>
      </c>
      <c r="C22" s="5">
        <v>25</v>
      </c>
      <c r="D22" s="5"/>
      <c r="E22" s="5"/>
      <c r="F22" s="5"/>
      <c r="G22" s="5" t="s">
        <v>904</v>
      </c>
    </row>
    <row r="23" spans="1:9" ht="60" customHeight="1" x14ac:dyDescent="0.35">
      <c r="A23" s="1">
        <v>20</v>
      </c>
      <c r="B23" s="84">
        <v>46129</v>
      </c>
      <c r="C23" s="12">
        <v>28</v>
      </c>
      <c r="D23" s="12" t="s">
        <v>905</v>
      </c>
      <c r="E23" s="12"/>
      <c r="F23" s="12"/>
      <c r="G23" s="12"/>
    </row>
    <row r="24" spans="1:9" ht="48" customHeight="1" x14ac:dyDescent="0.35">
      <c r="A24" s="86">
        <v>21</v>
      </c>
      <c r="B24" s="87">
        <v>46129</v>
      </c>
      <c r="C24" s="19">
        <v>26</v>
      </c>
      <c r="D24" s="85"/>
      <c r="E24" s="79"/>
      <c r="F24" s="79"/>
      <c r="G24" s="85" t="s">
        <v>906</v>
      </c>
    </row>
    <row r="25" spans="1:9" ht="28.5" customHeight="1" x14ac:dyDescent="0.35">
      <c r="A25" s="88">
        <v>22</v>
      </c>
      <c r="B25" s="87">
        <v>46129</v>
      </c>
      <c r="C25" s="79"/>
      <c r="D25" s="85" t="s">
        <v>907</v>
      </c>
      <c r="E25" s="79"/>
      <c r="F25" s="79"/>
      <c r="G25" s="79"/>
    </row>
    <row r="26" spans="1:9" ht="409.5" customHeight="1" x14ac:dyDescent="0.35">
      <c r="A26" s="86">
        <v>23</v>
      </c>
      <c r="B26" s="87">
        <v>46130</v>
      </c>
      <c r="C26" s="79">
        <v>4</v>
      </c>
      <c r="D26" s="85"/>
      <c r="E26" s="79"/>
      <c r="F26" s="79"/>
      <c r="G26" s="79"/>
      <c r="H26" s="85" t="s">
        <v>908</v>
      </c>
      <c r="I26" s="78" t="s">
        <v>909</v>
      </c>
    </row>
    <row r="27" spans="1:9" x14ac:dyDescent="0.35">
      <c r="A27" s="88">
        <v>24</v>
      </c>
      <c r="B27" s="87">
        <v>46130</v>
      </c>
      <c r="C27">
        <v>21</v>
      </c>
    </row>
    <row r="28" spans="1:9" x14ac:dyDescent="0.35">
      <c r="A28" s="86">
        <v>25</v>
      </c>
      <c r="B28" s="87">
        <v>46130</v>
      </c>
      <c r="C28">
        <v>28</v>
      </c>
    </row>
    <row r="29" spans="1:9" ht="174" customHeight="1" x14ac:dyDescent="0.35">
      <c r="A29" s="88">
        <v>26</v>
      </c>
      <c r="B29" s="87">
        <v>46130</v>
      </c>
      <c r="C29">
        <v>6</v>
      </c>
      <c r="D29" s="78" t="s">
        <v>910</v>
      </c>
    </row>
    <row r="30" spans="1:9" ht="409.5" customHeight="1" x14ac:dyDescent="0.35">
      <c r="B30" s="87">
        <v>46130</v>
      </c>
      <c r="C30">
        <v>6</v>
      </c>
      <c r="D30" s="78" t="s">
        <v>911</v>
      </c>
    </row>
  </sheetData>
  <mergeCells count="2">
    <mergeCell ref="A2:G2"/>
    <mergeCell ref="A1:G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N33"/>
  <sheetViews>
    <sheetView zoomScaleNormal="100" workbookViewId="0">
      <pane ySplit="4" topLeftCell="A10" activePane="bottomLeft" state="frozen"/>
      <selection pane="bottomLeft" activeCell="D33" sqref="D33"/>
    </sheetView>
  </sheetViews>
  <sheetFormatPr defaultColWidth="8.6328125" defaultRowHeight="14.5" x14ac:dyDescent="0.35"/>
  <cols>
    <col min="1" max="1" width="10.1796875" customWidth="1"/>
    <col min="2" max="2" width="30" customWidth="1"/>
    <col min="3" max="3" width="9" customWidth="1"/>
    <col min="4" max="4" width="20" customWidth="1"/>
    <col min="5" max="5" width="16" customWidth="1"/>
    <col min="6" max="8" width="10" customWidth="1"/>
    <col min="9" max="9" width="9" customWidth="1"/>
    <col min="10" max="12" width="10" customWidth="1"/>
    <col min="13" max="13" width="9" customWidth="1"/>
    <col min="14" max="14" width="10" customWidth="1"/>
  </cols>
  <sheetData>
    <row r="1" spans="1:14" ht="19.5" customHeight="1" x14ac:dyDescent="0.35">
      <c r="A1" s="147" t="s">
        <v>912</v>
      </c>
      <c r="B1" s="138"/>
      <c r="C1" s="138"/>
      <c r="D1" s="138"/>
      <c r="E1" s="138"/>
      <c r="F1" s="138"/>
      <c r="G1" s="138"/>
      <c r="H1" s="138"/>
      <c r="I1" s="138"/>
      <c r="J1" s="138"/>
      <c r="K1" s="138"/>
      <c r="L1" s="138"/>
      <c r="M1" s="138"/>
      <c r="N1" s="138"/>
    </row>
    <row r="2" spans="1:14" ht="13.5" customHeight="1" x14ac:dyDescent="0.35">
      <c r="A2" s="137" t="s">
        <v>913</v>
      </c>
      <c r="B2" s="138"/>
      <c r="C2" s="138"/>
      <c r="D2" s="138"/>
      <c r="E2" s="138"/>
      <c r="F2" s="138"/>
      <c r="G2" s="138"/>
      <c r="H2" s="138"/>
      <c r="I2" s="138"/>
      <c r="J2" s="138"/>
      <c r="K2" s="138"/>
      <c r="L2" s="138"/>
      <c r="M2" s="138"/>
      <c r="N2" s="138"/>
    </row>
    <row r="3" spans="1:14" ht="18" customHeight="1" x14ac:dyDescent="0.35">
      <c r="A3" s="152" t="s">
        <v>914</v>
      </c>
      <c r="B3" s="142"/>
      <c r="C3" s="142"/>
      <c r="D3" s="142"/>
      <c r="E3" s="142"/>
      <c r="F3" s="142"/>
      <c r="G3" s="142"/>
      <c r="H3" s="142"/>
      <c r="I3" s="142"/>
      <c r="J3" s="142"/>
      <c r="K3" s="142"/>
      <c r="L3" s="142"/>
      <c r="M3" s="142"/>
      <c r="N3" s="143"/>
    </row>
    <row r="4" spans="1:14" ht="30" customHeight="1" x14ac:dyDescent="0.35">
      <c r="A4" s="89" t="s">
        <v>765</v>
      </c>
      <c r="B4" s="89" t="s">
        <v>766</v>
      </c>
      <c r="C4" s="89" t="s">
        <v>21</v>
      </c>
      <c r="D4" s="89" t="s">
        <v>915</v>
      </c>
      <c r="E4" s="89" t="s">
        <v>23</v>
      </c>
      <c r="F4" s="89" t="s">
        <v>916</v>
      </c>
      <c r="G4" s="89" t="s">
        <v>917</v>
      </c>
      <c r="H4" s="89" t="s">
        <v>918</v>
      </c>
      <c r="I4" s="89" t="s">
        <v>919</v>
      </c>
      <c r="J4" s="89" t="s">
        <v>920</v>
      </c>
      <c r="K4" s="89" t="s">
        <v>921</v>
      </c>
      <c r="L4" s="89" t="s">
        <v>922</v>
      </c>
      <c r="M4" s="89" t="s">
        <v>923</v>
      </c>
      <c r="N4" s="89" t="s">
        <v>924</v>
      </c>
    </row>
    <row r="5" spans="1:14" ht="36" customHeight="1" x14ac:dyDescent="0.35">
      <c r="A5" s="50" t="s">
        <v>836</v>
      </c>
      <c r="B5" s="30" t="s">
        <v>837</v>
      </c>
      <c r="C5" s="31" t="s">
        <v>144</v>
      </c>
      <c r="D5" s="51" t="s">
        <v>925</v>
      </c>
      <c r="E5" s="52" t="s">
        <v>44</v>
      </c>
      <c r="F5" s="13"/>
      <c r="G5" s="13"/>
      <c r="H5" s="13"/>
      <c r="I5" s="13"/>
      <c r="J5" s="13"/>
      <c r="K5" s="13"/>
      <c r="L5" s="13"/>
      <c r="M5" s="13"/>
      <c r="N5" s="90" t="str">
        <f t="shared" ref="N5:N20" si="0">IF(AND(F5=J5,G5=K5,H5=L5,I5=M5),"✓ Match","✗ Diff")</f>
        <v>✓ Match</v>
      </c>
    </row>
    <row r="6" spans="1:14" ht="36" customHeight="1" x14ac:dyDescent="0.35">
      <c r="A6" s="50" t="s">
        <v>845</v>
      </c>
      <c r="B6" s="30" t="s">
        <v>846</v>
      </c>
      <c r="C6" s="31" t="s">
        <v>144</v>
      </c>
      <c r="D6" s="51" t="s">
        <v>925</v>
      </c>
      <c r="E6" s="52" t="s">
        <v>44</v>
      </c>
      <c r="F6" s="13"/>
      <c r="G6" s="13"/>
      <c r="H6" s="13"/>
      <c r="I6" s="13"/>
      <c r="J6" s="13"/>
      <c r="K6" s="13"/>
      <c r="L6" s="13"/>
      <c r="M6" s="13"/>
      <c r="N6" s="90" t="str">
        <f t="shared" si="0"/>
        <v>✓ Match</v>
      </c>
    </row>
    <row r="7" spans="1:14" ht="36" customHeight="1" x14ac:dyDescent="0.35">
      <c r="A7" s="50" t="s">
        <v>832</v>
      </c>
      <c r="B7" s="30" t="s">
        <v>833</v>
      </c>
      <c r="C7" s="31" t="s">
        <v>42</v>
      </c>
      <c r="D7" s="51" t="s">
        <v>925</v>
      </c>
      <c r="E7" s="52" t="s">
        <v>44</v>
      </c>
      <c r="F7" s="13"/>
      <c r="G7" s="13"/>
      <c r="H7" s="13"/>
      <c r="I7" s="13"/>
      <c r="J7" s="13"/>
      <c r="K7" s="13"/>
      <c r="L7" s="13"/>
      <c r="M7" s="13"/>
      <c r="N7" s="90" t="str">
        <f t="shared" si="0"/>
        <v>✓ Match</v>
      </c>
    </row>
    <row r="8" spans="1:14" ht="36" customHeight="1" x14ac:dyDescent="0.35">
      <c r="A8" s="50" t="s">
        <v>851</v>
      </c>
      <c r="B8" s="30" t="s">
        <v>852</v>
      </c>
      <c r="C8" s="31" t="s">
        <v>840</v>
      </c>
      <c r="D8" s="51" t="s">
        <v>925</v>
      </c>
      <c r="E8" s="52" t="s">
        <v>44</v>
      </c>
      <c r="F8" s="13"/>
      <c r="G8" s="13"/>
      <c r="H8" s="13"/>
      <c r="I8" s="13"/>
      <c r="J8" s="13"/>
      <c r="K8" s="13"/>
      <c r="L8" s="13"/>
      <c r="M8" s="13"/>
      <c r="N8" s="90" t="str">
        <f t="shared" si="0"/>
        <v>✓ Match</v>
      </c>
    </row>
    <row r="9" spans="1:14" ht="36" customHeight="1" x14ac:dyDescent="0.35">
      <c r="A9" s="50" t="s">
        <v>815</v>
      </c>
      <c r="B9" s="30" t="s">
        <v>816</v>
      </c>
      <c r="C9" s="31" t="s">
        <v>72</v>
      </c>
      <c r="D9" s="51" t="s">
        <v>925</v>
      </c>
      <c r="E9" s="52" t="s">
        <v>44</v>
      </c>
      <c r="F9" s="13"/>
      <c r="G9" s="13"/>
      <c r="H9" s="13"/>
      <c r="I9" s="13"/>
      <c r="J9" s="13"/>
      <c r="K9" s="13"/>
      <c r="L9" s="13"/>
      <c r="M9" s="13"/>
      <c r="N9" s="90" t="str">
        <f t="shared" si="0"/>
        <v>✓ Match</v>
      </c>
    </row>
    <row r="10" spans="1:14" ht="36" customHeight="1" x14ac:dyDescent="0.35">
      <c r="A10" s="50" t="s">
        <v>802</v>
      </c>
      <c r="B10" s="30" t="s">
        <v>803</v>
      </c>
      <c r="C10" s="31" t="s">
        <v>117</v>
      </c>
      <c r="D10" s="51" t="s">
        <v>926</v>
      </c>
      <c r="E10" s="52" t="s">
        <v>44</v>
      </c>
      <c r="F10" s="13"/>
      <c r="G10" s="13"/>
      <c r="H10" s="13"/>
      <c r="I10" s="13"/>
      <c r="J10" s="13"/>
      <c r="K10" s="13"/>
      <c r="L10" s="13"/>
      <c r="M10" s="13"/>
      <c r="N10" s="90" t="str">
        <f t="shared" si="0"/>
        <v>✓ Match</v>
      </c>
    </row>
    <row r="11" spans="1:14" ht="36" customHeight="1" x14ac:dyDescent="0.35">
      <c r="A11" s="50" t="s">
        <v>277</v>
      </c>
      <c r="B11" s="30" t="s">
        <v>278</v>
      </c>
      <c r="C11" s="31" t="s">
        <v>279</v>
      </c>
      <c r="D11" s="51" t="s">
        <v>926</v>
      </c>
      <c r="E11" s="52" t="s">
        <v>44</v>
      </c>
      <c r="F11" s="13"/>
      <c r="G11" s="13"/>
      <c r="H11" s="13"/>
      <c r="I11" s="13"/>
      <c r="J11" s="13"/>
      <c r="K11" s="13"/>
      <c r="L11" s="13"/>
      <c r="M11" s="13"/>
      <c r="N11" s="90" t="str">
        <f t="shared" si="0"/>
        <v>✓ Match</v>
      </c>
    </row>
    <row r="12" spans="1:14" ht="36" customHeight="1" x14ac:dyDescent="0.35">
      <c r="A12" s="50" t="s">
        <v>779</v>
      </c>
      <c r="B12" s="30" t="s">
        <v>780</v>
      </c>
      <c r="C12" s="31" t="s">
        <v>117</v>
      </c>
      <c r="D12" s="51" t="s">
        <v>926</v>
      </c>
      <c r="E12" s="52" t="s">
        <v>44</v>
      </c>
      <c r="F12" s="13"/>
      <c r="G12" s="13"/>
      <c r="H12" s="13"/>
      <c r="I12" s="13"/>
      <c r="J12" s="13"/>
      <c r="K12" s="13"/>
      <c r="L12" s="13"/>
      <c r="M12" s="13"/>
      <c r="N12" s="90" t="str">
        <f t="shared" si="0"/>
        <v>✓ Match</v>
      </c>
    </row>
    <row r="13" spans="1:14" ht="36" customHeight="1" x14ac:dyDescent="0.35">
      <c r="A13" s="50" t="s">
        <v>813</v>
      </c>
      <c r="B13" s="30" t="s">
        <v>814</v>
      </c>
      <c r="C13" s="31" t="s">
        <v>144</v>
      </c>
      <c r="D13" s="51" t="s">
        <v>927</v>
      </c>
      <c r="E13" s="52" t="s">
        <v>411</v>
      </c>
      <c r="F13" s="13"/>
      <c r="G13" s="13"/>
      <c r="H13" s="13"/>
      <c r="I13" s="13"/>
      <c r="J13" s="13"/>
      <c r="K13" s="13"/>
      <c r="L13" s="13"/>
      <c r="M13" s="13"/>
      <c r="N13" s="90" t="str">
        <f t="shared" si="0"/>
        <v>✓ Match</v>
      </c>
    </row>
    <row r="14" spans="1:14" ht="36" customHeight="1" x14ac:dyDescent="0.35">
      <c r="A14" s="50" t="s">
        <v>819</v>
      </c>
      <c r="B14" s="30" t="s">
        <v>524</v>
      </c>
      <c r="C14" s="31" t="s">
        <v>42</v>
      </c>
      <c r="D14" s="51" t="s">
        <v>927</v>
      </c>
      <c r="E14" s="52" t="s">
        <v>411</v>
      </c>
      <c r="F14" s="13"/>
      <c r="G14" s="13"/>
      <c r="H14" s="13"/>
      <c r="I14" s="13"/>
      <c r="J14" s="13"/>
      <c r="K14" s="13"/>
      <c r="L14" s="13"/>
      <c r="M14" s="13"/>
      <c r="N14" s="90" t="str">
        <f t="shared" si="0"/>
        <v>✓ Match</v>
      </c>
    </row>
    <row r="15" spans="1:14" ht="36" customHeight="1" x14ac:dyDescent="0.35">
      <c r="A15" s="50" t="s">
        <v>408</v>
      </c>
      <c r="B15" s="30" t="s">
        <v>409</v>
      </c>
      <c r="C15" s="31" t="s">
        <v>42</v>
      </c>
      <c r="D15" s="51" t="s">
        <v>927</v>
      </c>
      <c r="E15" s="52" t="s">
        <v>411</v>
      </c>
      <c r="F15" s="13"/>
      <c r="G15" s="13"/>
      <c r="H15" s="13"/>
      <c r="I15" s="13"/>
      <c r="J15" s="13"/>
      <c r="K15" s="13"/>
      <c r="L15" s="13"/>
      <c r="M15" s="13"/>
      <c r="N15" s="90" t="str">
        <f t="shared" si="0"/>
        <v>✓ Match</v>
      </c>
    </row>
    <row r="16" spans="1:14" ht="36" customHeight="1" x14ac:dyDescent="0.35">
      <c r="A16" s="50" t="s">
        <v>784</v>
      </c>
      <c r="B16" s="30" t="s">
        <v>785</v>
      </c>
      <c r="C16" s="31" t="s">
        <v>202</v>
      </c>
      <c r="D16" s="51" t="s">
        <v>928</v>
      </c>
      <c r="E16" s="52" t="s">
        <v>786</v>
      </c>
      <c r="F16" s="13"/>
      <c r="G16" s="13"/>
      <c r="H16" s="13"/>
      <c r="I16" s="13"/>
      <c r="J16" s="13"/>
      <c r="K16" s="13"/>
      <c r="L16" s="13"/>
      <c r="M16" s="13"/>
      <c r="N16" s="90" t="str">
        <f t="shared" si="0"/>
        <v>✓ Match</v>
      </c>
    </row>
    <row r="17" spans="1:14" ht="36" customHeight="1" x14ac:dyDescent="0.35">
      <c r="A17" s="50" t="s">
        <v>794</v>
      </c>
      <c r="B17" s="30" t="s">
        <v>795</v>
      </c>
      <c r="C17" s="31" t="s">
        <v>117</v>
      </c>
      <c r="D17" s="51" t="s">
        <v>928</v>
      </c>
      <c r="E17" s="52" t="s">
        <v>44</v>
      </c>
      <c r="F17" s="13"/>
      <c r="G17" s="13"/>
      <c r="H17" s="13"/>
      <c r="I17" s="13"/>
      <c r="J17" s="13"/>
      <c r="K17" s="13"/>
      <c r="L17" s="13"/>
      <c r="M17" s="13"/>
      <c r="N17" s="90" t="str">
        <f t="shared" si="0"/>
        <v>✓ Match</v>
      </c>
    </row>
    <row r="18" spans="1:14" ht="36" customHeight="1" x14ac:dyDescent="0.35">
      <c r="A18" s="50" t="s">
        <v>136</v>
      </c>
      <c r="B18" s="30" t="s">
        <v>776</v>
      </c>
      <c r="C18" s="31" t="s">
        <v>95</v>
      </c>
      <c r="D18" s="51" t="s">
        <v>929</v>
      </c>
      <c r="E18" s="52" t="s">
        <v>44</v>
      </c>
      <c r="F18" s="13"/>
      <c r="G18" s="13"/>
      <c r="H18" s="13"/>
      <c r="I18" s="13"/>
      <c r="J18" s="13"/>
      <c r="K18" s="13"/>
      <c r="L18" s="13"/>
      <c r="M18" s="13"/>
      <c r="N18" s="90" t="str">
        <f t="shared" si="0"/>
        <v>✓ Match</v>
      </c>
    </row>
    <row r="19" spans="1:14" ht="36" customHeight="1" x14ac:dyDescent="0.35">
      <c r="A19" s="50" t="s">
        <v>800</v>
      </c>
      <c r="B19" s="30" t="s">
        <v>801</v>
      </c>
      <c r="C19" s="31" t="s">
        <v>117</v>
      </c>
      <c r="D19" s="51" t="s">
        <v>929</v>
      </c>
      <c r="E19" s="52" t="s">
        <v>44</v>
      </c>
      <c r="F19" s="13"/>
      <c r="G19" s="13"/>
      <c r="H19" s="13"/>
      <c r="I19" s="13"/>
      <c r="J19" s="13"/>
      <c r="K19" s="13"/>
      <c r="L19" s="13"/>
      <c r="M19" s="13"/>
      <c r="N19" s="90" t="str">
        <f t="shared" si="0"/>
        <v>✓ Match</v>
      </c>
    </row>
    <row r="20" spans="1:14" ht="36" customHeight="1" x14ac:dyDescent="0.35">
      <c r="A20" s="50" t="s">
        <v>39</v>
      </c>
      <c r="B20" s="30" t="s">
        <v>40</v>
      </c>
      <c r="C20" s="31" t="s">
        <v>42</v>
      </c>
      <c r="D20" s="51" t="s">
        <v>930</v>
      </c>
      <c r="E20" s="52" t="s">
        <v>44</v>
      </c>
      <c r="F20" s="13"/>
      <c r="G20" s="13"/>
      <c r="H20" s="13"/>
      <c r="I20" s="13"/>
      <c r="J20" s="13"/>
      <c r="K20" s="13"/>
      <c r="L20" s="13"/>
      <c r="M20" s="13"/>
      <c r="N20" s="90" t="str">
        <f t="shared" si="0"/>
        <v>✓ Match</v>
      </c>
    </row>
    <row r="22" spans="1:14" ht="18" customHeight="1" x14ac:dyDescent="0.35">
      <c r="A22" s="155" t="s">
        <v>931</v>
      </c>
      <c r="B22" s="142"/>
      <c r="C22" s="142"/>
      <c r="D22" s="142"/>
      <c r="E22" s="142"/>
      <c r="F22" s="142"/>
      <c r="G22" s="142"/>
      <c r="H22" s="142"/>
      <c r="I22" s="142"/>
      <c r="J22" s="142"/>
      <c r="K22" s="142"/>
      <c r="L22" s="142"/>
      <c r="M22" s="142"/>
      <c r="N22" s="143"/>
    </row>
    <row r="23" spans="1:14" ht="19.5" customHeight="1" x14ac:dyDescent="0.35">
      <c r="A23" s="151" t="s">
        <v>932</v>
      </c>
      <c r="B23" s="142"/>
      <c r="C23" s="142"/>
      <c r="D23" s="142"/>
      <c r="E23" s="143"/>
      <c r="F23" s="154">
        <f>COUNTA(F5:F21)</f>
        <v>0</v>
      </c>
      <c r="G23" s="142"/>
      <c r="H23" s="142"/>
      <c r="I23" s="142"/>
      <c r="J23" s="143"/>
      <c r="K23" s="148"/>
      <c r="L23" s="142"/>
      <c r="M23" s="142"/>
      <c r="N23" s="143"/>
    </row>
    <row r="24" spans="1:14" ht="19.5" customHeight="1" x14ac:dyDescent="0.35">
      <c r="A24" s="153" t="s">
        <v>933</v>
      </c>
      <c r="B24" s="142"/>
      <c r="C24" s="142"/>
      <c r="D24" s="142"/>
      <c r="E24" s="143"/>
      <c r="F24" s="150">
        <f>COUNTIF(N5:N21,"✓ Match")</f>
        <v>16</v>
      </c>
      <c r="G24" s="142"/>
      <c r="H24" s="142"/>
      <c r="I24" s="142"/>
      <c r="J24" s="143"/>
      <c r="K24" s="148"/>
      <c r="L24" s="142"/>
      <c r="M24" s="142"/>
      <c r="N24" s="143"/>
    </row>
    <row r="25" spans="1:14" ht="19.5" customHeight="1" x14ac:dyDescent="0.35">
      <c r="A25" s="151" t="s">
        <v>934</v>
      </c>
      <c r="B25" s="142"/>
      <c r="C25" s="142"/>
      <c r="D25" s="142"/>
      <c r="E25" s="143"/>
      <c r="F25" s="154" t="str">
        <f>IFERROR(IF(F23&gt;0,F24/F23,""),"")</f>
        <v/>
      </c>
      <c r="G25" s="142"/>
      <c r="H25" s="142"/>
      <c r="I25" s="142"/>
      <c r="J25" s="143"/>
      <c r="K25" s="148" t="s">
        <v>935</v>
      </c>
      <c r="L25" s="142"/>
      <c r="M25" s="142"/>
      <c r="N25" s="143"/>
    </row>
    <row r="26" spans="1:14" ht="19.5" customHeight="1" x14ac:dyDescent="0.35">
      <c r="A26" s="153" t="s">
        <v>936</v>
      </c>
      <c r="B26" s="142"/>
      <c r="C26" s="142"/>
      <c r="D26" s="142"/>
      <c r="E26" s="143"/>
      <c r="F26" s="149" t="s">
        <v>937</v>
      </c>
      <c r="G26" s="142"/>
      <c r="H26" s="142"/>
      <c r="I26" s="142"/>
      <c r="J26" s="143"/>
      <c r="K26" s="148" t="s">
        <v>938</v>
      </c>
      <c r="L26" s="142"/>
      <c r="M26" s="142"/>
      <c r="N26" s="143"/>
    </row>
    <row r="27" spans="1:14" ht="19.5" customHeight="1" x14ac:dyDescent="0.35">
      <c r="A27" s="151" t="s">
        <v>939</v>
      </c>
      <c r="B27" s="142"/>
      <c r="C27" s="142"/>
      <c r="D27" s="142"/>
      <c r="E27" s="143"/>
      <c r="F27" s="149"/>
      <c r="G27" s="142"/>
      <c r="H27" s="142"/>
      <c r="I27" s="142"/>
      <c r="J27" s="143"/>
      <c r="K27" s="148" t="s">
        <v>940</v>
      </c>
      <c r="L27" s="142"/>
      <c r="M27" s="142"/>
      <c r="N27" s="143"/>
    </row>
    <row r="28" spans="1:14" ht="19.5" customHeight="1" x14ac:dyDescent="0.35">
      <c r="A28" s="153" t="s">
        <v>941</v>
      </c>
      <c r="B28" s="142"/>
      <c r="C28" s="142"/>
      <c r="D28" s="142"/>
      <c r="E28" s="143"/>
      <c r="F28" s="149"/>
      <c r="G28" s="142"/>
      <c r="H28" s="142"/>
      <c r="I28" s="142"/>
      <c r="J28" s="143"/>
      <c r="K28" s="148" t="s">
        <v>942</v>
      </c>
      <c r="L28" s="142"/>
      <c r="M28" s="142"/>
      <c r="N28" s="143"/>
    </row>
    <row r="29" spans="1:14" ht="19.5" customHeight="1" x14ac:dyDescent="0.35">
      <c r="A29" s="151" t="s">
        <v>943</v>
      </c>
      <c r="B29" s="142"/>
      <c r="C29" s="142"/>
      <c r="D29" s="142"/>
      <c r="E29" s="143"/>
      <c r="F29" s="149"/>
      <c r="G29" s="142"/>
      <c r="H29" s="142"/>
      <c r="I29" s="142"/>
      <c r="J29" s="143"/>
      <c r="K29" s="148" t="s">
        <v>942</v>
      </c>
      <c r="L29" s="142"/>
      <c r="M29" s="142"/>
      <c r="N29" s="143"/>
    </row>
    <row r="30" spans="1:14" ht="19.5" customHeight="1" x14ac:dyDescent="0.35">
      <c r="A30" s="153" t="s">
        <v>944</v>
      </c>
      <c r="B30" s="142"/>
      <c r="C30" s="142"/>
      <c r="D30" s="142"/>
      <c r="E30" s="143"/>
      <c r="F30" s="149"/>
      <c r="G30" s="142"/>
      <c r="H30" s="142"/>
      <c r="I30" s="142"/>
      <c r="J30" s="143"/>
      <c r="K30" s="148" t="s">
        <v>942</v>
      </c>
      <c r="L30" s="142"/>
      <c r="M30" s="142"/>
      <c r="N30" s="143"/>
    </row>
    <row r="31" spans="1:14" ht="19.5" customHeight="1" x14ac:dyDescent="0.35">
      <c r="A31" s="151" t="s">
        <v>945</v>
      </c>
      <c r="B31" s="142"/>
      <c r="C31" s="142"/>
      <c r="D31" s="142"/>
      <c r="E31" s="143"/>
      <c r="F31" s="154"/>
      <c r="G31" s="142"/>
      <c r="H31" s="142"/>
      <c r="I31" s="142"/>
      <c r="J31" s="143"/>
      <c r="K31" s="148" t="s">
        <v>946</v>
      </c>
      <c r="L31" s="142"/>
      <c r="M31" s="142"/>
      <c r="N31" s="143"/>
    </row>
    <row r="33" spans="1:2" ht="289.5" customHeight="1" x14ac:dyDescent="0.35">
      <c r="A33" s="87">
        <v>46130</v>
      </c>
      <c r="B33" s="91" t="s">
        <v>947</v>
      </c>
    </row>
  </sheetData>
  <mergeCells count="31">
    <mergeCell ref="F31:J31"/>
    <mergeCell ref="F27:J27"/>
    <mergeCell ref="K31:N31"/>
    <mergeCell ref="A29:E29"/>
    <mergeCell ref="A22:N22"/>
    <mergeCell ref="A28:E28"/>
    <mergeCell ref="A31:E31"/>
    <mergeCell ref="K27:N27"/>
    <mergeCell ref="A30:E30"/>
    <mergeCell ref="K23:N23"/>
    <mergeCell ref="F29:J29"/>
    <mergeCell ref="A24:E24"/>
    <mergeCell ref="F25:J25"/>
    <mergeCell ref="F28:J28"/>
    <mergeCell ref="A23:E23"/>
    <mergeCell ref="A1:N1"/>
    <mergeCell ref="K28:N28"/>
    <mergeCell ref="F30:J30"/>
    <mergeCell ref="F24:J24"/>
    <mergeCell ref="A25:E25"/>
    <mergeCell ref="K25:N25"/>
    <mergeCell ref="K30:N30"/>
    <mergeCell ref="K24:N24"/>
    <mergeCell ref="A27:E27"/>
    <mergeCell ref="F26:J26"/>
    <mergeCell ref="A3:N3"/>
    <mergeCell ref="A26:E26"/>
    <mergeCell ref="K26:N26"/>
    <mergeCell ref="F23:J23"/>
    <mergeCell ref="K29:N29"/>
    <mergeCell ref="A2:N2"/>
  </mergeCells>
  <dataValidations count="2">
    <dataValidation type="list" allowBlank="1" sqref="F5:H25 J5:L25" xr:uid="{00000000-0002-0000-0300-000000000000}">
      <formula1>"ORG-01,ORG-02,ORG-03,ORG-04,ORG-05,ORG-06,ORG-07,TEC-01,TEC-02,TEC-03,TEC-04,TEC-05,TEC-06,PRO-01,PRO-02,PRO-03,PRO-04,PRO-05,PRO-06,EMER-01,EMER-02,EMER-03,EMER-04,EMER-05"</formula1>
      <formula2>0</formula2>
    </dataValidation>
    <dataValidation type="list" allowBlank="1" sqref="I5:I25 M5:M25" xr:uid="{00000000-0002-0000-0300-000001000000}">
      <formula1>"CRS-01,CRS-02,CRS-03,CRS-04"</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33C00"/>
  </sheetPr>
  <dimension ref="A1:F37"/>
  <sheetViews>
    <sheetView zoomScaleNormal="100" workbookViewId="0">
      <selection activeCell="G18" sqref="G18"/>
    </sheetView>
  </sheetViews>
  <sheetFormatPr defaultColWidth="8.6328125" defaultRowHeight="14.5" x14ac:dyDescent="0.35"/>
  <cols>
    <col min="1" max="1" width="10" customWidth="1"/>
    <col min="2" max="2" width="9" customWidth="1"/>
    <col min="3" max="3" width="28" customWidth="1"/>
    <col min="4" max="5" width="14" customWidth="1"/>
    <col min="6" max="6" width="10" customWidth="1"/>
  </cols>
  <sheetData>
    <row r="1" spans="1:6" ht="19.5" customHeight="1" x14ac:dyDescent="0.35">
      <c r="A1" s="140" t="s">
        <v>948</v>
      </c>
      <c r="B1" s="138"/>
      <c r="C1" s="138"/>
      <c r="D1" s="138"/>
      <c r="E1" s="138"/>
      <c r="F1" s="138"/>
    </row>
    <row r="2" spans="1:6" ht="13.5" customHeight="1" x14ac:dyDescent="0.35">
      <c r="A2" s="137" t="s">
        <v>949</v>
      </c>
      <c r="B2" s="138"/>
      <c r="C2" s="138"/>
      <c r="D2" s="138"/>
      <c r="E2" s="138"/>
      <c r="F2" s="138"/>
    </row>
    <row r="3" spans="1:6" ht="24" customHeight="1" x14ac:dyDescent="0.35">
      <c r="A3" s="2" t="s">
        <v>950</v>
      </c>
      <c r="B3" s="2" t="s">
        <v>951</v>
      </c>
      <c r="C3" s="2" t="s">
        <v>952</v>
      </c>
      <c r="D3" s="2" t="s">
        <v>953</v>
      </c>
      <c r="E3" s="2" t="s">
        <v>954</v>
      </c>
      <c r="F3" s="2" t="s">
        <v>955</v>
      </c>
    </row>
    <row r="4" spans="1:6" ht="15.75" customHeight="1" x14ac:dyDescent="0.35">
      <c r="A4" s="156" t="s">
        <v>956</v>
      </c>
      <c r="B4" s="142"/>
      <c r="C4" s="142"/>
      <c r="D4" s="142"/>
      <c r="E4" s="142"/>
      <c r="F4" s="143"/>
    </row>
    <row r="5" spans="1:6" ht="15.75" customHeight="1" x14ac:dyDescent="0.35">
      <c r="A5" s="92" t="s">
        <v>957</v>
      </c>
      <c r="B5" s="93" t="s">
        <v>47</v>
      </c>
      <c r="C5" s="94" t="s">
        <v>958</v>
      </c>
      <c r="D5" s="95">
        <f>COUNTIF('Coding Log'!J:J,"ORG-01")</f>
        <v>26</v>
      </c>
      <c r="E5" s="95">
        <f>COUNTIF('Coding Log'!K:K,"ORG-01")</f>
        <v>3</v>
      </c>
      <c r="F5" s="96">
        <f t="shared" ref="F5:F11" si="0">D5+E5</f>
        <v>29</v>
      </c>
    </row>
    <row r="6" spans="1:6" ht="15.75" customHeight="1" x14ac:dyDescent="0.35">
      <c r="A6" s="92" t="s">
        <v>957</v>
      </c>
      <c r="B6" s="93" t="s">
        <v>176</v>
      </c>
      <c r="C6" s="94" t="s">
        <v>959</v>
      </c>
      <c r="D6" s="95">
        <f>COUNTIF('Coding Log'!J:J,"ORG-02")</f>
        <v>5</v>
      </c>
      <c r="E6" s="95">
        <f>COUNTIF('Coding Log'!K:K,"ORG-02")</f>
        <v>1</v>
      </c>
      <c r="F6" s="96">
        <f t="shared" si="0"/>
        <v>6</v>
      </c>
    </row>
    <row r="7" spans="1:6" ht="15.75" customHeight="1" x14ac:dyDescent="0.35">
      <c r="A7" s="92" t="s">
        <v>957</v>
      </c>
      <c r="B7" s="93" t="s">
        <v>106</v>
      </c>
      <c r="C7" s="94" t="s">
        <v>960</v>
      </c>
      <c r="D7" s="95">
        <f>COUNTIF('Coding Log'!J:J,"ORG-03")</f>
        <v>2</v>
      </c>
      <c r="E7" s="95">
        <f>COUNTIF('Coding Log'!K:K,"ORG-03")</f>
        <v>0</v>
      </c>
      <c r="F7" s="96">
        <f t="shared" si="0"/>
        <v>2</v>
      </c>
    </row>
    <row r="8" spans="1:6" ht="15.75" customHeight="1" x14ac:dyDescent="0.35">
      <c r="A8" s="92" t="s">
        <v>957</v>
      </c>
      <c r="B8" s="93" t="s">
        <v>505</v>
      </c>
      <c r="C8" s="94" t="s">
        <v>961</v>
      </c>
      <c r="D8" s="95">
        <f>COUNTIF('Coding Log'!J:J,"ORG-04")</f>
        <v>0</v>
      </c>
      <c r="E8" s="95">
        <f>COUNTIF('Coding Log'!K:K,"ORG-04")</f>
        <v>1</v>
      </c>
      <c r="F8" s="96">
        <f t="shared" si="0"/>
        <v>1</v>
      </c>
    </row>
    <row r="9" spans="1:6" ht="15.75" customHeight="1" x14ac:dyDescent="0.35">
      <c r="A9" s="92" t="s">
        <v>957</v>
      </c>
      <c r="B9" s="93" t="s">
        <v>113</v>
      </c>
      <c r="C9" s="94" t="s">
        <v>962</v>
      </c>
      <c r="D9" s="95">
        <f>COUNTIF('Coding Log'!J:J,"ORG-05")</f>
        <v>8</v>
      </c>
      <c r="E9" s="95">
        <f>COUNTIF('Coding Log'!K:K,"ORG-05")</f>
        <v>6</v>
      </c>
      <c r="F9" s="96">
        <f t="shared" si="0"/>
        <v>14</v>
      </c>
    </row>
    <row r="10" spans="1:6" ht="15.75" customHeight="1" x14ac:dyDescent="0.35">
      <c r="A10" s="92" t="s">
        <v>957</v>
      </c>
      <c r="B10" s="93" t="s">
        <v>53</v>
      </c>
      <c r="C10" s="94" t="s">
        <v>963</v>
      </c>
      <c r="D10" s="95">
        <f>COUNTIF('Coding Log'!J:J,"ORG-06")</f>
        <v>3</v>
      </c>
      <c r="E10" s="95">
        <f>COUNTIF('Coding Log'!K:K,"ORG-06")</f>
        <v>1</v>
      </c>
      <c r="F10" s="96">
        <f t="shared" si="0"/>
        <v>4</v>
      </c>
    </row>
    <row r="11" spans="1:6" ht="15.75" customHeight="1" x14ac:dyDescent="0.35">
      <c r="A11" s="92" t="s">
        <v>957</v>
      </c>
      <c r="B11" s="93" t="s">
        <v>99</v>
      </c>
      <c r="C11" s="94" t="s">
        <v>964</v>
      </c>
      <c r="D11" s="95">
        <f>COUNTIF('Coding Log'!J:J,"ORG-07")</f>
        <v>12</v>
      </c>
      <c r="E11" s="95">
        <f>COUNTIF('Coding Log'!K:K,"ORG-07")</f>
        <v>5</v>
      </c>
      <c r="F11" s="96">
        <f t="shared" si="0"/>
        <v>17</v>
      </c>
    </row>
    <row r="12" spans="1:6" ht="15.75" customHeight="1" x14ac:dyDescent="0.35">
      <c r="A12" s="156" t="s">
        <v>965</v>
      </c>
      <c r="B12" s="142"/>
      <c r="C12" s="142"/>
      <c r="D12" s="142"/>
      <c r="E12" s="142"/>
      <c r="F12" s="143"/>
    </row>
    <row r="13" spans="1:6" ht="15.75" customHeight="1" x14ac:dyDescent="0.35">
      <c r="A13" s="97" t="s">
        <v>966</v>
      </c>
      <c r="B13" s="98" t="s">
        <v>56</v>
      </c>
      <c r="C13" s="99" t="s">
        <v>249</v>
      </c>
      <c r="D13" s="100">
        <f>COUNTIF('Coding Log'!J:J,"TEC-01")</f>
        <v>33</v>
      </c>
      <c r="E13" s="100">
        <f>COUNTIF('Coding Log'!K:K,"TEC-01")</f>
        <v>5</v>
      </c>
      <c r="F13" s="101">
        <f t="shared" ref="F13:F18" si="1">D13+E13</f>
        <v>38</v>
      </c>
    </row>
    <row r="14" spans="1:6" ht="15.75" customHeight="1" x14ac:dyDescent="0.35">
      <c r="A14" s="97" t="s">
        <v>966</v>
      </c>
      <c r="B14" s="98" t="s">
        <v>59</v>
      </c>
      <c r="C14" s="99" t="s">
        <v>258</v>
      </c>
      <c r="D14" s="100">
        <f>COUNTIF('Coding Log'!J:J,"TEC-02")</f>
        <v>22</v>
      </c>
      <c r="E14" s="100">
        <f>COUNTIF('Coding Log'!K:K,"TEC-02")</f>
        <v>5</v>
      </c>
      <c r="F14" s="101">
        <f t="shared" si="1"/>
        <v>27</v>
      </c>
    </row>
    <row r="15" spans="1:6" ht="15.75" customHeight="1" x14ac:dyDescent="0.35">
      <c r="A15" s="97" t="s">
        <v>966</v>
      </c>
      <c r="B15" s="98" t="s">
        <v>153</v>
      </c>
      <c r="C15" s="99" t="s">
        <v>967</v>
      </c>
      <c r="D15" s="100">
        <f>COUNTIF('Coding Log'!J:J,"TEC-03")</f>
        <v>1</v>
      </c>
      <c r="E15" s="100">
        <f>COUNTIF('Coding Log'!K:K,"TEC-03")</f>
        <v>0</v>
      </c>
      <c r="F15" s="101">
        <f t="shared" si="1"/>
        <v>1</v>
      </c>
    </row>
    <row r="16" spans="1:6" ht="15.75" customHeight="1" x14ac:dyDescent="0.35">
      <c r="A16" s="97" t="s">
        <v>966</v>
      </c>
      <c r="B16" s="98" t="s">
        <v>248</v>
      </c>
      <c r="C16" s="99" t="s">
        <v>968</v>
      </c>
      <c r="D16" s="100">
        <f>COUNTIF('Coding Log'!J:J,"TEC-04")</f>
        <v>5</v>
      </c>
      <c r="E16" s="100">
        <f>COUNTIF('Coding Log'!K:K,"TEC-04")</f>
        <v>3</v>
      </c>
      <c r="F16" s="101">
        <f t="shared" si="1"/>
        <v>8</v>
      </c>
    </row>
    <row r="17" spans="1:6" ht="15.75" customHeight="1" x14ac:dyDescent="0.35">
      <c r="A17" s="97" t="s">
        <v>966</v>
      </c>
      <c r="B17" s="98" t="s">
        <v>479</v>
      </c>
      <c r="C17" s="99" t="s">
        <v>969</v>
      </c>
      <c r="D17" s="100">
        <f>COUNTIF('Coding Log'!J:J,"TEC-05")</f>
        <v>1</v>
      </c>
      <c r="E17" s="100">
        <f>COUNTIF('Coding Log'!K:K,"TEC-05")</f>
        <v>1</v>
      </c>
      <c r="F17" s="101">
        <f t="shared" si="1"/>
        <v>2</v>
      </c>
    </row>
    <row r="18" spans="1:6" ht="15.75" customHeight="1" x14ac:dyDescent="0.35">
      <c r="A18" s="97" t="s">
        <v>966</v>
      </c>
      <c r="B18" s="98" t="s">
        <v>63</v>
      </c>
      <c r="C18" s="99" t="s">
        <v>970</v>
      </c>
      <c r="D18" s="100">
        <f>COUNTIF('Coding Log'!J:J,"TEC-06")</f>
        <v>2</v>
      </c>
      <c r="E18" s="100">
        <f>COUNTIF('Coding Log'!K:K,"TEC-06")</f>
        <v>9</v>
      </c>
      <c r="F18" s="101">
        <f t="shared" si="1"/>
        <v>11</v>
      </c>
    </row>
    <row r="19" spans="1:6" ht="15.75" customHeight="1" x14ac:dyDescent="0.35">
      <c r="A19" s="156" t="s">
        <v>971</v>
      </c>
      <c r="B19" s="142"/>
      <c r="C19" s="142"/>
      <c r="D19" s="142"/>
      <c r="E19" s="142"/>
      <c r="F19" s="143"/>
    </row>
    <row r="20" spans="1:6" ht="15.75" customHeight="1" x14ac:dyDescent="0.35">
      <c r="A20" s="102" t="s">
        <v>972</v>
      </c>
      <c r="B20" s="103" t="s">
        <v>91</v>
      </c>
      <c r="C20" s="104" t="s">
        <v>973</v>
      </c>
      <c r="D20" s="105">
        <f>COUNTIF('Coding Log'!J:J,"PRO-01")</f>
        <v>11</v>
      </c>
      <c r="E20" s="105">
        <f>COUNTIF('Coding Log'!K:K,"PRO-01")</f>
        <v>8</v>
      </c>
      <c r="F20" s="106">
        <f t="shared" ref="F20:F25" si="2">D20+E20</f>
        <v>19</v>
      </c>
    </row>
    <row r="21" spans="1:6" ht="15.75" customHeight="1" x14ac:dyDescent="0.35">
      <c r="A21" s="102" t="s">
        <v>972</v>
      </c>
      <c r="B21" s="103" t="s">
        <v>67</v>
      </c>
      <c r="C21" s="104" t="s">
        <v>974</v>
      </c>
      <c r="D21" s="105">
        <f>COUNTIF('Coding Log'!J:J,"PRO-02")</f>
        <v>4</v>
      </c>
      <c r="E21" s="105">
        <f>COUNTIF('Coding Log'!K:K,"PRO-02")</f>
        <v>4</v>
      </c>
      <c r="F21" s="106">
        <f t="shared" si="2"/>
        <v>8</v>
      </c>
    </row>
    <row r="22" spans="1:6" ht="15.75" customHeight="1" x14ac:dyDescent="0.35">
      <c r="A22" s="102" t="s">
        <v>972</v>
      </c>
      <c r="B22" s="103" t="s">
        <v>141</v>
      </c>
      <c r="C22" s="104" t="s">
        <v>975</v>
      </c>
      <c r="D22" s="105">
        <f>COUNTIF('Coding Log'!J:J,"PRO-03")</f>
        <v>11</v>
      </c>
      <c r="E22" s="105">
        <f>COUNTIF('Coding Log'!K:K,"PRO-03")</f>
        <v>7</v>
      </c>
      <c r="F22" s="106">
        <f t="shared" si="2"/>
        <v>18</v>
      </c>
    </row>
    <row r="23" spans="1:6" ht="15.75" customHeight="1" x14ac:dyDescent="0.35">
      <c r="A23" s="102" t="s">
        <v>972</v>
      </c>
      <c r="B23" s="103" t="s">
        <v>263</v>
      </c>
      <c r="C23" s="104" t="s">
        <v>265</v>
      </c>
      <c r="D23" s="105">
        <f>COUNTIF('Coding Log'!J:J,"PRO-04")</f>
        <v>12</v>
      </c>
      <c r="E23" s="105">
        <f>COUNTIF('Coding Log'!K:K,"PRO-04")</f>
        <v>6</v>
      </c>
      <c r="F23" s="106">
        <f t="shared" si="2"/>
        <v>18</v>
      </c>
    </row>
    <row r="24" spans="1:6" ht="15.75" customHeight="1" x14ac:dyDescent="0.35">
      <c r="A24" s="102" t="s">
        <v>972</v>
      </c>
      <c r="B24" s="103" t="s">
        <v>976</v>
      </c>
      <c r="C24" s="104" t="s">
        <v>977</v>
      </c>
      <c r="D24" s="105">
        <f>COUNTIF('Coding Log'!J:J,"PRO-05")</f>
        <v>0</v>
      </c>
      <c r="E24" s="105">
        <f>COUNTIF('Coding Log'!K:K,"PRO-05")</f>
        <v>0</v>
      </c>
      <c r="F24" s="106">
        <f t="shared" si="2"/>
        <v>0</v>
      </c>
    </row>
    <row r="25" spans="1:6" ht="15.75" customHeight="1" x14ac:dyDescent="0.35">
      <c r="A25" s="102" t="s">
        <v>972</v>
      </c>
      <c r="B25" s="103" t="s">
        <v>133</v>
      </c>
      <c r="C25" s="104" t="s">
        <v>978</v>
      </c>
      <c r="D25" s="105">
        <f>COUNTIF('Coding Log'!J:J,"PRO-06")</f>
        <v>5</v>
      </c>
      <c r="E25" s="105">
        <f>COUNTIF('Coding Log'!K:K,"PRO-06")</f>
        <v>7</v>
      </c>
      <c r="F25" s="106">
        <f t="shared" si="2"/>
        <v>12</v>
      </c>
    </row>
    <row r="26" spans="1:6" ht="15.75" customHeight="1" x14ac:dyDescent="0.35">
      <c r="A26" s="156" t="s">
        <v>979</v>
      </c>
      <c r="B26" s="142"/>
      <c r="C26" s="142"/>
      <c r="D26" s="142"/>
      <c r="E26" s="142"/>
      <c r="F26" s="143"/>
    </row>
    <row r="27" spans="1:6" ht="15.75" customHeight="1" x14ac:dyDescent="0.35">
      <c r="A27" s="107" t="s">
        <v>980</v>
      </c>
      <c r="B27" s="108" t="s">
        <v>81</v>
      </c>
      <c r="C27" s="109" t="s">
        <v>981</v>
      </c>
      <c r="D27" s="110">
        <f>COUNTIF('Coding Log'!J:M,"CRS-01")</f>
        <v>22</v>
      </c>
      <c r="E27" s="110">
        <f>COUNTIF('Coding Log'!K:K,"CRS-01")</f>
        <v>1</v>
      </c>
      <c r="F27" s="111">
        <f>D27+E27</f>
        <v>23</v>
      </c>
    </row>
    <row r="28" spans="1:6" ht="15.75" customHeight="1" x14ac:dyDescent="0.35">
      <c r="A28" s="107" t="s">
        <v>980</v>
      </c>
      <c r="B28" s="108" t="s">
        <v>48</v>
      </c>
      <c r="C28" s="109" t="s">
        <v>982</v>
      </c>
      <c r="D28" s="110">
        <f>COUNTIF('Coding Log'!J:M,"CRS-02")</f>
        <v>54</v>
      </c>
      <c r="E28" s="110">
        <f>COUNTIF('Coding Log'!K:K,"CRS-02")</f>
        <v>8</v>
      </c>
      <c r="F28" s="111">
        <f>D28+E28</f>
        <v>62</v>
      </c>
    </row>
    <row r="29" spans="1:6" ht="15.75" customHeight="1" x14ac:dyDescent="0.35">
      <c r="A29" s="107" t="s">
        <v>980</v>
      </c>
      <c r="B29" s="108" t="s">
        <v>983</v>
      </c>
      <c r="C29" s="109" t="s">
        <v>984</v>
      </c>
      <c r="D29" s="110">
        <f>COUNTIF('Coding Log'!J:M,"CRS-03")</f>
        <v>0</v>
      </c>
      <c r="E29" s="110">
        <f>COUNTIF('Coding Log'!K:K,"CRS-03")</f>
        <v>0</v>
      </c>
      <c r="F29" s="111">
        <f>D29+E29</f>
        <v>0</v>
      </c>
    </row>
    <row r="30" spans="1:6" ht="15.75" customHeight="1" x14ac:dyDescent="0.35">
      <c r="A30" s="107" t="s">
        <v>980</v>
      </c>
      <c r="B30" s="108" t="s">
        <v>985</v>
      </c>
      <c r="C30" s="109" t="s">
        <v>986</v>
      </c>
      <c r="D30" s="110">
        <f>COUNTIF('Coding Log'!J:M,"CRS-04")</f>
        <v>0</v>
      </c>
      <c r="E30" s="110">
        <f>COUNTIF('Coding Log'!K:K,"CRS-04")</f>
        <v>0</v>
      </c>
      <c r="F30" s="111">
        <f>D30+E30</f>
        <v>0</v>
      </c>
    </row>
    <row r="31" spans="1:6" ht="15.75" customHeight="1" x14ac:dyDescent="0.35">
      <c r="A31" s="156" t="s">
        <v>987</v>
      </c>
      <c r="B31" s="142"/>
      <c r="C31" s="142"/>
      <c r="D31" s="142"/>
      <c r="E31" s="142"/>
      <c r="F31" s="143"/>
    </row>
    <row r="32" spans="1:6" ht="15.75" customHeight="1" x14ac:dyDescent="0.35">
      <c r="A32" s="107" t="s">
        <v>988</v>
      </c>
      <c r="B32" s="108" t="s">
        <v>989</v>
      </c>
      <c r="C32" s="109" t="s">
        <v>990</v>
      </c>
      <c r="D32" s="110">
        <f>COUNTIF('Coding Log'!J:J,"EMER-01")</f>
        <v>0</v>
      </c>
      <c r="E32" s="110">
        <f>COUNTIF('Coding Log'!K:K,"EMER-01")</f>
        <v>0</v>
      </c>
      <c r="F32" s="111">
        <f>D32+E32</f>
        <v>0</v>
      </c>
    </row>
    <row r="33" spans="1:6" ht="15.75" customHeight="1" x14ac:dyDescent="0.35">
      <c r="A33" s="107" t="s">
        <v>988</v>
      </c>
      <c r="B33" s="108" t="s">
        <v>991</v>
      </c>
      <c r="C33" s="109" t="s">
        <v>990</v>
      </c>
      <c r="D33" s="110">
        <f>COUNTIF('Coding Log'!J:J,"EMER-02")</f>
        <v>0</v>
      </c>
      <c r="E33" s="110">
        <f>COUNTIF('Coding Log'!K:K,"EMER-02")</f>
        <v>0</v>
      </c>
      <c r="F33" s="111">
        <f>D33+E33</f>
        <v>0</v>
      </c>
    </row>
    <row r="34" spans="1:6" ht="15.75" customHeight="1" x14ac:dyDescent="0.35">
      <c r="A34" s="107" t="s">
        <v>988</v>
      </c>
      <c r="B34" s="108" t="s">
        <v>992</v>
      </c>
      <c r="C34" s="109" t="s">
        <v>990</v>
      </c>
      <c r="D34" s="110">
        <f>COUNTIF('Coding Log'!J:J,"EMER-03")</f>
        <v>0</v>
      </c>
      <c r="E34" s="110">
        <f>COUNTIF('Coding Log'!K:K,"EMER-03")</f>
        <v>0</v>
      </c>
      <c r="F34" s="111">
        <f>D34+E34</f>
        <v>0</v>
      </c>
    </row>
    <row r="35" spans="1:6" ht="15.75" customHeight="1" x14ac:dyDescent="0.35">
      <c r="A35" s="107" t="s">
        <v>988</v>
      </c>
      <c r="B35" s="108" t="s">
        <v>993</v>
      </c>
      <c r="C35" s="109" t="s">
        <v>990</v>
      </c>
      <c r="D35" s="110">
        <f>COUNTIF('Coding Log'!J:J,"EMER-04")</f>
        <v>0</v>
      </c>
      <c r="E35" s="110">
        <f>COUNTIF('Coding Log'!K:K,"EMER-04")</f>
        <v>0</v>
      </c>
      <c r="F35" s="111">
        <f>D35+E35</f>
        <v>0</v>
      </c>
    </row>
    <row r="36" spans="1:6" ht="15.75" customHeight="1" x14ac:dyDescent="0.35">
      <c r="A36" s="107" t="s">
        <v>988</v>
      </c>
      <c r="B36" s="108" t="s">
        <v>994</v>
      </c>
      <c r="C36" s="109" t="s">
        <v>990</v>
      </c>
      <c r="D36" s="110">
        <f>COUNTIF('Coding Log'!J:J,"EMER-05")</f>
        <v>0</v>
      </c>
      <c r="E36" s="110">
        <f>COUNTIF('Coding Log'!K:K,"EMER-05")</f>
        <v>0</v>
      </c>
      <c r="F36" s="111">
        <f>D36+E36</f>
        <v>0</v>
      </c>
    </row>
    <row r="37" spans="1:6" ht="18" customHeight="1" x14ac:dyDescent="0.35">
      <c r="A37" s="141" t="s">
        <v>995</v>
      </c>
      <c r="B37" s="142"/>
      <c r="C37" s="143"/>
      <c r="D37" s="77">
        <f>SUM(D4:D36)</f>
        <v>239</v>
      </c>
      <c r="E37" s="77">
        <f>SUM(E4:E36)</f>
        <v>81</v>
      </c>
      <c r="F37" s="77">
        <f>SUM(F4:F36)</f>
        <v>320</v>
      </c>
    </row>
  </sheetData>
  <mergeCells count="8">
    <mergeCell ref="A2:F2"/>
    <mergeCell ref="A19:F19"/>
    <mergeCell ref="A37:C37"/>
    <mergeCell ref="A1:F1"/>
    <mergeCell ref="A31:F31"/>
    <mergeCell ref="A12:F12"/>
    <mergeCell ref="A4:F4"/>
    <mergeCell ref="A26:F2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D12"/>
  <sheetViews>
    <sheetView zoomScale="61" zoomScaleNormal="61" workbookViewId="0">
      <selection activeCell="F11" sqref="F11"/>
    </sheetView>
  </sheetViews>
  <sheetFormatPr defaultColWidth="22.453125" defaultRowHeight="14.5" x14ac:dyDescent="0.35"/>
  <cols>
    <col min="1" max="1" width="22.453125" style="85" customWidth="1"/>
    <col min="2" max="2" width="90.6328125" style="85" customWidth="1"/>
    <col min="3" max="3" width="22.453125" style="85" customWidth="1"/>
    <col min="4" max="16384" width="22.453125" style="85"/>
  </cols>
  <sheetData>
    <row r="3" spans="1:4" ht="18" customHeight="1" x14ac:dyDescent="0.35">
      <c r="A3" s="129" t="s">
        <v>950</v>
      </c>
      <c r="B3" s="129" t="s">
        <v>996</v>
      </c>
      <c r="C3" s="112" t="s">
        <v>997</v>
      </c>
      <c r="D3" s="112" t="s">
        <v>768</v>
      </c>
    </row>
    <row r="4" spans="1:4" ht="66" customHeight="1" x14ac:dyDescent="0.35">
      <c r="A4" s="131" t="s">
        <v>957</v>
      </c>
      <c r="B4" s="161" t="s">
        <v>998</v>
      </c>
      <c r="C4" s="165" t="s">
        <v>999</v>
      </c>
      <c r="D4" s="166" t="s">
        <v>1000</v>
      </c>
    </row>
    <row r="5" spans="1:4" ht="34.5" customHeight="1" x14ac:dyDescent="0.35">
      <c r="A5" s="132" t="s">
        <v>1001</v>
      </c>
      <c r="B5" s="162"/>
      <c r="C5" s="164"/>
      <c r="D5" s="160"/>
    </row>
    <row r="6" spans="1:4" ht="93" customHeight="1" x14ac:dyDescent="0.35">
      <c r="A6" s="133" t="s">
        <v>966</v>
      </c>
      <c r="B6" s="161" t="s">
        <v>1002</v>
      </c>
      <c r="C6" s="168" t="s">
        <v>1003</v>
      </c>
      <c r="D6" s="170" t="s">
        <v>1004</v>
      </c>
    </row>
    <row r="7" spans="1:4" ht="17.25" customHeight="1" x14ac:dyDescent="0.35">
      <c r="A7" s="132" t="s">
        <v>1005</v>
      </c>
      <c r="B7" s="162"/>
      <c r="C7" s="164"/>
      <c r="D7" s="160"/>
    </row>
    <row r="8" spans="1:4" ht="66" customHeight="1" x14ac:dyDescent="0.35">
      <c r="A8" s="134" t="s">
        <v>972</v>
      </c>
      <c r="B8" s="161" t="s">
        <v>1006</v>
      </c>
      <c r="C8" s="163" t="s">
        <v>1007</v>
      </c>
      <c r="D8" s="167" t="s">
        <v>1008</v>
      </c>
    </row>
    <row r="9" spans="1:4" ht="34.5" customHeight="1" x14ac:dyDescent="0.35">
      <c r="A9" s="132" t="s">
        <v>1009</v>
      </c>
      <c r="B9" s="162"/>
      <c r="C9" s="164"/>
      <c r="D9" s="160"/>
    </row>
    <row r="10" spans="1:4" ht="75" customHeight="1" x14ac:dyDescent="0.35">
      <c r="A10" s="135" t="s">
        <v>980</v>
      </c>
      <c r="B10" s="161" t="s">
        <v>1010</v>
      </c>
      <c r="C10" s="169" t="s">
        <v>1011</v>
      </c>
      <c r="D10" s="159" t="s">
        <v>1012</v>
      </c>
    </row>
    <row r="11" spans="1:4" ht="93.75" customHeight="1" x14ac:dyDescent="0.35">
      <c r="A11" s="130" t="s">
        <v>1013</v>
      </c>
      <c r="B11" s="162"/>
      <c r="C11" s="164"/>
      <c r="D11" s="160"/>
    </row>
    <row r="12" spans="1:4" ht="17.25" customHeight="1" x14ac:dyDescent="0.35">
      <c r="A12" s="157" t="s">
        <v>1014</v>
      </c>
      <c r="B12" s="158"/>
      <c r="C12" s="136">
        <v>23</v>
      </c>
      <c r="D12" s="113">
        <v>1271</v>
      </c>
    </row>
  </sheetData>
  <mergeCells count="13">
    <mergeCell ref="A12:B12"/>
    <mergeCell ref="D10:D11"/>
    <mergeCell ref="B4:B5"/>
    <mergeCell ref="C8:C9"/>
    <mergeCell ref="C4:C5"/>
    <mergeCell ref="D4:D5"/>
    <mergeCell ref="D8:D9"/>
    <mergeCell ref="B8:B9"/>
    <mergeCell ref="C6:C7"/>
    <mergeCell ref="C10:C11"/>
    <mergeCell ref="B10:B11"/>
    <mergeCell ref="D6:D7"/>
    <mergeCell ref="B6:B7"/>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3"/>
  <sheetViews>
    <sheetView topLeftCell="A4" zoomScaleNormal="100" workbookViewId="0">
      <selection activeCell="B7" sqref="B7"/>
    </sheetView>
  </sheetViews>
  <sheetFormatPr defaultColWidth="19.54296875" defaultRowHeight="14.5" x14ac:dyDescent="0.35"/>
  <cols>
    <col min="1" max="1" width="19.54296875" style="79" customWidth="1"/>
    <col min="2" max="2" width="142.6328125" style="85" customWidth="1"/>
    <col min="3" max="3" width="49.26953125" customWidth="1"/>
  </cols>
  <sheetData>
    <row r="1" spans="1:3" x14ac:dyDescent="0.35">
      <c r="A1" s="114" t="s">
        <v>0</v>
      </c>
      <c r="B1" s="115" t="s">
        <v>1</v>
      </c>
    </row>
    <row r="2" spans="1:3" ht="14.25" customHeight="1" x14ac:dyDescent="0.35">
      <c r="A2" s="116" t="s">
        <v>2</v>
      </c>
      <c r="B2" s="117" t="s">
        <v>3</v>
      </c>
    </row>
    <row r="3" spans="1:3" ht="14.25" customHeight="1" x14ac:dyDescent="0.35">
      <c r="A3" s="116" t="s">
        <v>2</v>
      </c>
      <c r="B3" s="117" t="s">
        <v>4</v>
      </c>
    </row>
    <row r="4" spans="1:3" ht="14.25" customHeight="1" x14ac:dyDescent="0.35">
      <c r="A4" s="116" t="s">
        <v>2</v>
      </c>
      <c r="B4" s="117" t="s">
        <v>5</v>
      </c>
    </row>
    <row r="5" spans="1:3" ht="14.25" customHeight="1" x14ac:dyDescent="0.35">
      <c r="A5" s="116" t="s">
        <v>2</v>
      </c>
      <c r="B5" s="118" t="s">
        <v>6</v>
      </c>
    </row>
    <row r="6" spans="1:3" ht="108" customHeight="1" x14ac:dyDescent="0.35">
      <c r="A6" s="119">
        <v>46125</v>
      </c>
      <c r="B6" s="118" t="s">
        <v>7</v>
      </c>
    </row>
    <row r="7" spans="1:3" ht="101.5" customHeight="1" x14ac:dyDescent="0.35">
      <c r="A7" s="119">
        <v>46125</v>
      </c>
      <c r="B7" s="118" t="s">
        <v>8</v>
      </c>
    </row>
    <row r="8" spans="1:3" ht="183.75" customHeight="1" x14ac:dyDescent="0.35">
      <c r="A8" s="119">
        <v>46126</v>
      </c>
      <c r="B8" s="118" t="s">
        <v>9</v>
      </c>
      <c r="C8" s="85"/>
    </row>
    <row r="9" spans="1:3" ht="43.5" customHeight="1" x14ac:dyDescent="0.35">
      <c r="A9" s="119">
        <v>46129</v>
      </c>
      <c r="B9" s="117" t="s">
        <v>10</v>
      </c>
    </row>
    <row r="10" spans="1:3" x14ac:dyDescent="0.35">
      <c r="A10" s="119">
        <v>46129</v>
      </c>
      <c r="B10" s="118" t="s">
        <v>11</v>
      </c>
    </row>
    <row r="11" spans="1:3" ht="105" customHeight="1" x14ac:dyDescent="0.35">
      <c r="A11" s="120">
        <v>46130</v>
      </c>
      <c r="B11" s="118" t="s">
        <v>12</v>
      </c>
    </row>
    <row r="12" spans="1:3" ht="376.5" customHeight="1" x14ac:dyDescent="0.35">
      <c r="A12" s="120">
        <v>46130</v>
      </c>
      <c r="B12" s="118" t="s">
        <v>13</v>
      </c>
    </row>
    <row r="13" spans="1:3" ht="409.6" customHeight="1" x14ac:dyDescent="0.35">
      <c r="A13" s="121">
        <v>46133</v>
      </c>
      <c r="B13" s="122" t="s">
        <v>14</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F144"/>
  <sheetViews>
    <sheetView zoomScaleNormal="100" workbookViewId="0">
      <selection activeCell="B12" sqref="B12"/>
    </sheetView>
  </sheetViews>
  <sheetFormatPr defaultColWidth="140" defaultRowHeight="14.5" x14ac:dyDescent="0.35"/>
  <cols>
    <col min="1" max="1" width="140" style="85" customWidth="1"/>
    <col min="2" max="16384" width="140" style="85"/>
  </cols>
  <sheetData>
    <row r="2" spans="1:6" ht="23.25" customHeight="1" x14ac:dyDescent="0.35">
      <c r="A2" s="123" t="s">
        <v>1015</v>
      </c>
    </row>
    <row r="4" spans="1:6" x14ac:dyDescent="0.35">
      <c r="A4" s="18" t="s">
        <v>1016</v>
      </c>
    </row>
    <row r="8" spans="1:6" x14ac:dyDescent="0.35">
      <c r="A8" s="18" t="s">
        <v>1017</v>
      </c>
    </row>
    <row r="10" spans="1:6" ht="58" customHeight="1" x14ac:dyDescent="0.35">
      <c r="A10" s="85" t="s">
        <v>1018</v>
      </c>
    </row>
    <row r="14" spans="1:6" x14ac:dyDescent="0.35">
      <c r="A14" s="18" t="s">
        <v>1019</v>
      </c>
    </row>
    <row r="16" spans="1:6" x14ac:dyDescent="0.35">
      <c r="A16" s="124" t="s">
        <v>1020</v>
      </c>
      <c r="B16" s="124" t="s">
        <v>765</v>
      </c>
      <c r="C16" s="124" t="s">
        <v>873</v>
      </c>
      <c r="D16" s="124" t="s">
        <v>1021</v>
      </c>
      <c r="E16" s="124" t="s">
        <v>1022</v>
      </c>
      <c r="F16" s="124" t="s">
        <v>1023</v>
      </c>
    </row>
    <row r="17" spans="1:6" ht="28.5" customHeight="1" x14ac:dyDescent="0.35">
      <c r="A17" s="67" t="s">
        <v>1024</v>
      </c>
      <c r="B17" s="67" t="s">
        <v>1025</v>
      </c>
      <c r="C17" s="67" t="s">
        <v>322</v>
      </c>
      <c r="D17" s="67" t="s">
        <v>1026</v>
      </c>
      <c r="E17" s="67">
        <v>0</v>
      </c>
      <c r="F17" s="67">
        <v>0</v>
      </c>
    </row>
    <row r="18" spans="1:6" ht="28.5" customHeight="1" x14ac:dyDescent="0.35">
      <c r="A18" s="67" t="s">
        <v>1027</v>
      </c>
      <c r="B18" s="67" t="s">
        <v>1028</v>
      </c>
      <c r="C18" s="67" t="s">
        <v>351</v>
      </c>
      <c r="D18" s="67" t="s">
        <v>1029</v>
      </c>
      <c r="E18" s="67">
        <v>0</v>
      </c>
      <c r="F18" s="67">
        <v>0</v>
      </c>
    </row>
    <row r="19" spans="1:6" ht="28.5" customHeight="1" x14ac:dyDescent="0.35">
      <c r="A19" s="67" t="s">
        <v>1030</v>
      </c>
      <c r="B19" s="67" t="s">
        <v>1031</v>
      </c>
      <c r="C19" s="67" t="s">
        <v>1032</v>
      </c>
      <c r="D19" s="67" t="s">
        <v>1033</v>
      </c>
      <c r="E19" s="67">
        <v>0</v>
      </c>
      <c r="F19" s="67">
        <v>0</v>
      </c>
    </row>
    <row r="22" spans="1:6" x14ac:dyDescent="0.35">
      <c r="A22" s="18" t="s">
        <v>1034</v>
      </c>
    </row>
    <row r="24" spans="1:6" x14ac:dyDescent="0.35">
      <c r="A24" s="85" t="s">
        <v>1035</v>
      </c>
    </row>
    <row r="25" spans="1:6" x14ac:dyDescent="0.35">
      <c r="A25" s="125"/>
    </row>
    <row r="26" spans="1:6" x14ac:dyDescent="0.35">
      <c r="A26" s="126" t="s">
        <v>1036</v>
      </c>
    </row>
    <row r="27" spans="1:6" x14ac:dyDescent="0.35">
      <c r="A27" s="126" t="s">
        <v>1037</v>
      </c>
    </row>
    <row r="28" spans="1:6" x14ac:dyDescent="0.35">
      <c r="A28" s="126" t="s">
        <v>1038</v>
      </c>
    </row>
    <row r="29" spans="1:6" x14ac:dyDescent="0.35">
      <c r="A29" s="126" t="s">
        <v>1039</v>
      </c>
    </row>
    <row r="30" spans="1:6" ht="120" customHeight="1" x14ac:dyDescent="0.35">
      <c r="A30" s="127" t="s">
        <v>1040</v>
      </c>
    </row>
    <row r="34" spans="1:1" x14ac:dyDescent="0.35">
      <c r="A34" s="18" t="s">
        <v>1041</v>
      </c>
    </row>
    <row r="36" spans="1:1" x14ac:dyDescent="0.35">
      <c r="A36" s="85" t="s">
        <v>1042</v>
      </c>
    </row>
    <row r="37" spans="1:1" x14ac:dyDescent="0.35">
      <c r="A37" s="125"/>
    </row>
    <row r="38" spans="1:1" x14ac:dyDescent="0.35">
      <c r="A38" s="126" t="s">
        <v>1043</v>
      </c>
    </row>
    <row r="39" spans="1:1" x14ac:dyDescent="0.35">
      <c r="A39" s="126" t="s">
        <v>1044</v>
      </c>
    </row>
    <row r="40" spans="1:1" x14ac:dyDescent="0.35">
      <c r="A40" s="126" t="s">
        <v>1045</v>
      </c>
    </row>
    <row r="41" spans="1:1" x14ac:dyDescent="0.35">
      <c r="A41" s="126" t="s">
        <v>1046</v>
      </c>
    </row>
    <row r="45" spans="1:1" x14ac:dyDescent="0.35">
      <c r="A45" s="18" t="s">
        <v>1047</v>
      </c>
    </row>
    <row r="46" spans="1:1" x14ac:dyDescent="0.35">
      <c r="A46" s="125"/>
    </row>
    <row r="47" spans="1:1" x14ac:dyDescent="0.35">
      <c r="A47" s="125" t="s">
        <v>1048</v>
      </c>
    </row>
    <row r="48" spans="1:1" x14ac:dyDescent="0.35">
      <c r="A48" s="125" t="s">
        <v>1049</v>
      </c>
    </row>
    <row r="52" spans="1:1" x14ac:dyDescent="0.35">
      <c r="A52" s="18" t="s">
        <v>1050</v>
      </c>
    </row>
    <row r="53" spans="1:1" x14ac:dyDescent="0.35">
      <c r="A53" s="125"/>
    </row>
    <row r="54" spans="1:1" x14ac:dyDescent="0.35">
      <c r="A54" s="125" t="s">
        <v>1051</v>
      </c>
    </row>
    <row r="55" spans="1:1" x14ac:dyDescent="0.35">
      <c r="A55" s="125" t="s">
        <v>1052</v>
      </c>
    </row>
    <row r="56" spans="1:1" x14ac:dyDescent="0.35">
      <c r="A56" s="125" t="s">
        <v>1053</v>
      </c>
    </row>
    <row r="61" spans="1:1" x14ac:dyDescent="0.35">
      <c r="A61" s="125"/>
    </row>
    <row r="62" spans="1:1" x14ac:dyDescent="0.35">
      <c r="A62" s="126"/>
    </row>
    <row r="63" spans="1:1" x14ac:dyDescent="0.35">
      <c r="A63" s="126"/>
    </row>
    <row r="64" spans="1:1" x14ac:dyDescent="0.35">
      <c r="A64" s="126"/>
    </row>
    <row r="66" spans="1:1" ht="15" customHeight="1" x14ac:dyDescent="0.35">
      <c r="A66" s="128" t="s">
        <v>1054</v>
      </c>
    </row>
    <row r="68" spans="1:1" x14ac:dyDescent="0.35">
      <c r="A68" s="127" t="s">
        <v>1055</v>
      </c>
    </row>
    <row r="70" spans="1:1" ht="43.5" customHeight="1" x14ac:dyDescent="0.35">
      <c r="A70" s="122" t="s">
        <v>1056</v>
      </c>
    </row>
    <row r="72" spans="1:1" x14ac:dyDescent="0.35">
      <c r="A72" s="127" t="s">
        <v>1057</v>
      </c>
    </row>
    <row r="74" spans="1:1" x14ac:dyDescent="0.35">
      <c r="A74" s="122" t="s">
        <v>1058</v>
      </c>
    </row>
    <row r="75" spans="1:1" x14ac:dyDescent="0.35">
      <c r="A75" s="122" t="s">
        <v>1059</v>
      </c>
    </row>
    <row r="76" spans="1:1" ht="28.5" customHeight="1" x14ac:dyDescent="0.35">
      <c r="A76" s="122" t="s">
        <v>1060</v>
      </c>
    </row>
    <row r="77" spans="1:1" ht="28.5" customHeight="1" x14ac:dyDescent="0.35">
      <c r="A77" s="122" t="s">
        <v>1061</v>
      </c>
    </row>
    <row r="78" spans="1:1" ht="28.5" customHeight="1" x14ac:dyDescent="0.35">
      <c r="A78" s="122" t="s">
        <v>1062</v>
      </c>
    </row>
    <row r="79" spans="1:1" ht="28.5" customHeight="1" x14ac:dyDescent="0.35">
      <c r="A79" s="122" t="s">
        <v>1063</v>
      </c>
    </row>
    <row r="81" spans="1:1" x14ac:dyDescent="0.35">
      <c r="A81" s="127" t="s">
        <v>1064</v>
      </c>
    </row>
    <row r="83" spans="1:1" ht="87" customHeight="1" x14ac:dyDescent="0.35">
      <c r="A83" s="122" t="s">
        <v>1065</v>
      </c>
    </row>
    <row r="85" spans="1:1" x14ac:dyDescent="0.35">
      <c r="A85" s="127" t="s">
        <v>1066</v>
      </c>
    </row>
    <row r="87" spans="1:1" ht="43.5" customHeight="1" x14ac:dyDescent="0.35">
      <c r="A87" s="122" t="s">
        <v>1067</v>
      </c>
    </row>
    <row r="90" spans="1:1" ht="15" customHeight="1" x14ac:dyDescent="0.35">
      <c r="A90" s="128" t="s">
        <v>1068</v>
      </c>
    </row>
    <row r="92" spans="1:1" x14ac:dyDescent="0.35">
      <c r="A92" s="127" t="s">
        <v>1069</v>
      </c>
    </row>
    <row r="94" spans="1:1" ht="57.75" customHeight="1" x14ac:dyDescent="0.35">
      <c r="A94" s="122" t="s">
        <v>1070</v>
      </c>
    </row>
    <row r="96" spans="1:1" x14ac:dyDescent="0.35">
      <c r="A96" s="127" t="s">
        <v>1071</v>
      </c>
    </row>
    <row r="98" spans="1:1" ht="43.5" customHeight="1" x14ac:dyDescent="0.35">
      <c r="A98" s="122" t="s">
        <v>1072</v>
      </c>
    </row>
    <row r="100" spans="1:1" ht="72" customHeight="1" x14ac:dyDescent="0.35">
      <c r="A100" s="122" t="s">
        <v>1073</v>
      </c>
    </row>
    <row r="102" spans="1:1" ht="72" customHeight="1" x14ac:dyDescent="0.35">
      <c r="A102" s="122" t="s">
        <v>1074</v>
      </c>
    </row>
    <row r="104" spans="1:1" ht="72" customHeight="1" x14ac:dyDescent="0.35">
      <c r="A104" s="122" t="s">
        <v>1075</v>
      </c>
    </row>
    <row r="106" spans="1:1" x14ac:dyDescent="0.35">
      <c r="A106" s="127" t="s">
        <v>1076</v>
      </c>
    </row>
    <row r="108" spans="1:1" ht="57.75" customHeight="1" x14ac:dyDescent="0.35">
      <c r="A108" s="122" t="s">
        <v>1077</v>
      </c>
    </row>
    <row r="110" spans="1:1" x14ac:dyDescent="0.35">
      <c r="A110" s="127" t="s">
        <v>1078</v>
      </c>
    </row>
    <row r="112" spans="1:1" ht="43.5" customHeight="1" x14ac:dyDescent="0.35">
      <c r="A112" s="122" t="s">
        <v>1079</v>
      </c>
    </row>
    <row r="115" spans="1:1" ht="15" customHeight="1" x14ac:dyDescent="0.35">
      <c r="A115" s="128" t="s">
        <v>1080</v>
      </c>
    </row>
    <row r="117" spans="1:1" ht="28.5" customHeight="1" x14ac:dyDescent="0.35">
      <c r="A117" s="127" t="s">
        <v>1081</v>
      </c>
    </row>
    <row r="119" spans="1:1" ht="72" customHeight="1" x14ac:dyDescent="0.35">
      <c r="A119" s="122" t="s">
        <v>1082</v>
      </c>
    </row>
    <row r="121" spans="1:1" x14ac:dyDescent="0.35">
      <c r="A121" s="127" t="s">
        <v>1083</v>
      </c>
    </row>
    <row r="123" spans="1:1" ht="101.25" customHeight="1" x14ac:dyDescent="0.35">
      <c r="A123" s="122" t="s">
        <v>1084</v>
      </c>
    </row>
    <row r="125" spans="1:1" x14ac:dyDescent="0.35">
      <c r="A125" s="127" t="s">
        <v>1085</v>
      </c>
    </row>
    <row r="127" spans="1:1" ht="87" customHeight="1" x14ac:dyDescent="0.35">
      <c r="A127" s="122" t="s">
        <v>1086</v>
      </c>
    </row>
    <row r="129" spans="1:1" x14ac:dyDescent="0.35">
      <c r="A129" s="127" t="s">
        <v>1087</v>
      </c>
    </row>
    <row r="131" spans="1:1" ht="87" customHeight="1" x14ac:dyDescent="0.35">
      <c r="A131" s="122" t="s">
        <v>1088</v>
      </c>
    </row>
    <row r="133" spans="1:1" x14ac:dyDescent="0.35">
      <c r="A133" s="127" t="s">
        <v>1089</v>
      </c>
    </row>
    <row r="135" spans="1:1" ht="87" customHeight="1" x14ac:dyDescent="0.35">
      <c r="A135" s="122" t="s">
        <v>1090</v>
      </c>
    </row>
    <row r="137" spans="1:1" x14ac:dyDescent="0.35">
      <c r="A137" s="127" t="s">
        <v>1078</v>
      </c>
    </row>
    <row r="139" spans="1:1" ht="57.75" customHeight="1" x14ac:dyDescent="0.35">
      <c r="A139" s="122" t="s">
        <v>1091</v>
      </c>
    </row>
    <row r="142" spans="1:1" ht="15" customHeight="1" x14ac:dyDescent="0.35">
      <c r="A142" s="128" t="s">
        <v>1092</v>
      </c>
    </row>
    <row r="144" spans="1:1" ht="72" customHeight="1" x14ac:dyDescent="0.35">
      <c r="A144" s="122" t="s">
        <v>1093</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20"/>
  <sheetViews>
    <sheetView zoomScaleNormal="100" workbookViewId="0">
      <selection activeCell="A23" sqref="A23"/>
    </sheetView>
  </sheetViews>
  <sheetFormatPr defaultColWidth="8.6328125" defaultRowHeight="14.5" x14ac:dyDescent="0.35"/>
  <cols>
    <col min="1" max="1" width="89.36328125" style="78" customWidth="1"/>
  </cols>
  <sheetData>
    <row r="2" spans="1:1" ht="23.25" customHeight="1" x14ac:dyDescent="0.35">
      <c r="A2" s="123" t="s">
        <v>1094</v>
      </c>
    </row>
    <row r="4" spans="1:1" ht="14.25" customHeight="1" x14ac:dyDescent="0.35">
      <c r="A4" s="18" t="s">
        <v>1095</v>
      </c>
    </row>
    <row r="6" spans="1:1" ht="120" customHeight="1" x14ac:dyDescent="0.35">
      <c r="A6" s="78" t="s">
        <v>1096</v>
      </c>
    </row>
    <row r="8" spans="1:1" ht="14.25" customHeight="1" x14ac:dyDescent="0.35">
      <c r="A8" s="18" t="s">
        <v>1097</v>
      </c>
    </row>
    <row r="10" spans="1:1" ht="14.25" customHeight="1" x14ac:dyDescent="0.35">
      <c r="A10" s="18" t="s">
        <v>1098</v>
      </c>
    </row>
    <row r="12" spans="1:1" ht="41.25" customHeight="1" x14ac:dyDescent="0.35">
      <c r="A12" s="78" t="s">
        <v>1099</v>
      </c>
    </row>
    <row r="14" spans="1:1" ht="14.25" customHeight="1" x14ac:dyDescent="0.35">
      <c r="A14" s="18" t="s">
        <v>1100</v>
      </c>
    </row>
    <row r="16" spans="1:1" ht="68.25" customHeight="1" x14ac:dyDescent="0.35">
      <c r="A16" s="78" t="s">
        <v>1101</v>
      </c>
    </row>
    <row r="18" spans="1:1" ht="14.25" customHeight="1" x14ac:dyDescent="0.35">
      <c r="A18" s="18" t="s">
        <v>1102</v>
      </c>
    </row>
    <row r="20" spans="1:1" ht="81.75" customHeight="1" x14ac:dyDescent="0.35">
      <c r="A20" s="78" t="s">
        <v>1103</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Coding Log</vt:lpstr>
      <vt:lpstr>Document Tracker</vt:lpstr>
      <vt:lpstr>Memo Log</vt:lpstr>
      <vt:lpstr>κ Subsample Tracker</vt:lpstr>
      <vt:lpstr>Code Frequency</vt:lpstr>
      <vt:lpstr>Q2 Rubric</vt:lpstr>
      <vt:lpstr>Decision Log</vt:lpstr>
      <vt:lpstr>Decision-Emrgng Patt Saturatn</vt:lpstr>
      <vt:lpstr>Emerging Patterns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Rambel-Stone, Milinda</cp:lastModifiedBy>
  <cp:revision>0</cp:revision>
  <dcterms:created xsi:type="dcterms:W3CDTF">2026-04-10T21:19:48Z</dcterms:created>
  <dcterms:modified xsi:type="dcterms:W3CDTF">2026-04-30T14:42:08Z</dcterms:modified>
  <dc:language>en-US</dc:language>
</cp:coreProperties>
</file>